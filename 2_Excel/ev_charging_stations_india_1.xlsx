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iyam\Desktop\EV_ChargeMap_Intelligence\1_Datasets\"/>
    </mc:Choice>
  </mc:AlternateContent>
  <xr:revisionPtr revIDLastSave="0" documentId="13_ncr:1_{71C6D9EB-B359-4386-ACE8-66D9CD19D892}" xr6:coauthVersionLast="47" xr6:coauthVersionMax="47" xr10:uidLastSave="{00000000-0000-0000-0000-000000000000}"/>
  <bookViews>
    <workbookView xWindow="5124" yWindow="3360" windowWidth="17280" windowHeight="8880" firstSheet="3" activeTab="4" xr2:uid="{44D8ACC3-22DA-4EAB-94E9-735520DD65A8}"/>
  </bookViews>
  <sheets>
    <sheet name="Data_Audit" sheetId="1" r:id="rId1"/>
    <sheet name="Pivot_Table" sheetId="8" r:id="rId2"/>
    <sheet name="Charging_Stations" sheetId="2" r:id="rId3"/>
    <sheet name="Charging_Stations_Raw(2)" sheetId="7" r:id="rId4"/>
    <sheet name="Analysis" sheetId="5" r:id="rId5"/>
  </sheets>
  <definedNames>
    <definedName name="_xlnm._FilterDatabase" localSheetId="2" hidden="1">Charging_Stations!$A$1:$J$1001</definedName>
  </definedNames>
  <calcPr calcId="191029"/>
  <pivotCaches>
    <pivotCache cacheId="0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3" i="2" l="1"/>
  <c r="M4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M99" i="2"/>
  <c r="M100" i="2"/>
  <c r="M101" i="2"/>
  <c r="M102" i="2"/>
  <c r="M103" i="2"/>
  <c r="M104" i="2"/>
  <c r="M105" i="2"/>
  <c r="M106" i="2"/>
  <c r="M107" i="2"/>
  <c r="M108" i="2"/>
  <c r="M109" i="2"/>
  <c r="M110" i="2"/>
  <c r="M111" i="2"/>
  <c r="M112" i="2"/>
  <c r="M113" i="2"/>
  <c r="M114" i="2"/>
  <c r="M115" i="2"/>
  <c r="M116" i="2"/>
  <c r="M117" i="2"/>
  <c r="M118" i="2"/>
  <c r="M119" i="2"/>
  <c r="M120" i="2"/>
  <c r="M121" i="2"/>
  <c r="M122" i="2"/>
  <c r="M123" i="2"/>
  <c r="M124" i="2"/>
  <c r="M125" i="2"/>
  <c r="M126" i="2"/>
  <c r="M127" i="2"/>
  <c r="M128" i="2"/>
  <c r="M129" i="2"/>
  <c r="M130" i="2"/>
  <c r="M131" i="2"/>
  <c r="M132" i="2"/>
  <c r="M133" i="2"/>
  <c r="M134" i="2"/>
  <c r="M135" i="2"/>
  <c r="M136" i="2"/>
  <c r="M137" i="2"/>
  <c r="M138" i="2"/>
  <c r="M139" i="2"/>
  <c r="M140" i="2"/>
  <c r="M141" i="2"/>
  <c r="M142" i="2"/>
  <c r="M143" i="2"/>
  <c r="M144" i="2"/>
  <c r="M145" i="2"/>
  <c r="M146" i="2"/>
  <c r="M147" i="2"/>
  <c r="M148" i="2"/>
  <c r="M149" i="2"/>
  <c r="M150" i="2"/>
  <c r="M151" i="2"/>
  <c r="M152" i="2"/>
  <c r="M153" i="2"/>
  <c r="M154" i="2"/>
  <c r="M155" i="2"/>
  <c r="M156" i="2"/>
  <c r="M157" i="2"/>
  <c r="M158" i="2"/>
  <c r="M159" i="2"/>
  <c r="M160" i="2"/>
  <c r="M161" i="2"/>
  <c r="M162" i="2"/>
  <c r="M163" i="2"/>
  <c r="M164" i="2"/>
  <c r="M165" i="2"/>
  <c r="M166" i="2"/>
  <c r="M167" i="2"/>
  <c r="M168" i="2"/>
  <c r="M169" i="2"/>
  <c r="M170" i="2"/>
  <c r="M171" i="2"/>
  <c r="M172" i="2"/>
  <c r="M173" i="2"/>
  <c r="M174" i="2"/>
  <c r="M175" i="2"/>
  <c r="M176" i="2"/>
  <c r="M177" i="2"/>
  <c r="M178" i="2"/>
  <c r="M179" i="2"/>
  <c r="M180" i="2"/>
  <c r="M181" i="2"/>
  <c r="M182" i="2"/>
  <c r="M183" i="2"/>
  <c r="M184" i="2"/>
  <c r="M185" i="2"/>
  <c r="M186" i="2"/>
  <c r="M187" i="2"/>
  <c r="M188" i="2"/>
  <c r="M189" i="2"/>
  <c r="M190" i="2"/>
  <c r="M191" i="2"/>
  <c r="M192" i="2"/>
  <c r="M193" i="2"/>
  <c r="M194" i="2"/>
  <c r="M195" i="2"/>
  <c r="M196" i="2"/>
  <c r="M197" i="2"/>
  <c r="M198" i="2"/>
  <c r="M199" i="2"/>
  <c r="M200" i="2"/>
  <c r="M201" i="2"/>
  <c r="M202" i="2"/>
  <c r="M203" i="2"/>
  <c r="M204" i="2"/>
  <c r="M205" i="2"/>
  <c r="M206" i="2"/>
  <c r="M207" i="2"/>
  <c r="M208" i="2"/>
  <c r="M209" i="2"/>
  <c r="M210" i="2"/>
  <c r="M211" i="2"/>
  <c r="M212" i="2"/>
  <c r="M213" i="2"/>
  <c r="M214" i="2"/>
  <c r="M215" i="2"/>
  <c r="M216" i="2"/>
  <c r="M217" i="2"/>
  <c r="M218" i="2"/>
  <c r="M219" i="2"/>
  <c r="M220" i="2"/>
  <c r="M221" i="2"/>
  <c r="M222" i="2"/>
  <c r="M223" i="2"/>
  <c r="M224" i="2"/>
  <c r="M225" i="2"/>
  <c r="M226" i="2"/>
  <c r="M227" i="2"/>
  <c r="M228" i="2"/>
  <c r="M229" i="2"/>
  <c r="M230" i="2"/>
  <c r="M231" i="2"/>
  <c r="M232" i="2"/>
  <c r="M233" i="2"/>
  <c r="M234" i="2"/>
  <c r="M235" i="2"/>
  <c r="M236" i="2"/>
  <c r="M237" i="2"/>
  <c r="M238" i="2"/>
  <c r="M239" i="2"/>
  <c r="M240" i="2"/>
  <c r="M241" i="2"/>
  <c r="M242" i="2"/>
  <c r="M243" i="2"/>
  <c r="M244" i="2"/>
  <c r="M245" i="2"/>
  <c r="M246" i="2"/>
  <c r="M247" i="2"/>
  <c r="M248" i="2"/>
  <c r="M249" i="2"/>
  <c r="M250" i="2"/>
  <c r="M251" i="2"/>
  <c r="M252" i="2"/>
  <c r="M253" i="2"/>
  <c r="M254" i="2"/>
  <c r="M255" i="2"/>
  <c r="M256" i="2"/>
  <c r="M257" i="2"/>
  <c r="M258" i="2"/>
  <c r="M259" i="2"/>
  <c r="M260" i="2"/>
  <c r="M261" i="2"/>
  <c r="M262" i="2"/>
  <c r="M263" i="2"/>
  <c r="M264" i="2"/>
  <c r="M265" i="2"/>
  <c r="M266" i="2"/>
  <c r="M267" i="2"/>
  <c r="M268" i="2"/>
  <c r="M269" i="2"/>
  <c r="M270" i="2"/>
  <c r="M271" i="2"/>
  <c r="M272" i="2"/>
  <c r="M273" i="2"/>
  <c r="M274" i="2"/>
  <c r="M275" i="2"/>
  <c r="M276" i="2"/>
  <c r="M277" i="2"/>
  <c r="M278" i="2"/>
  <c r="M279" i="2"/>
  <c r="M280" i="2"/>
  <c r="M281" i="2"/>
  <c r="M282" i="2"/>
  <c r="M283" i="2"/>
  <c r="M284" i="2"/>
  <c r="M285" i="2"/>
  <c r="M286" i="2"/>
  <c r="M287" i="2"/>
  <c r="M288" i="2"/>
  <c r="M289" i="2"/>
  <c r="M290" i="2"/>
  <c r="M291" i="2"/>
  <c r="M292" i="2"/>
  <c r="M293" i="2"/>
  <c r="M294" i="2"/>
  <c r="M295" i="2"/>
  <c r="M296" i="2"/>
  <c r="M297" i="2"/>
  <c r="M298" i="2"/>
  <c r="M299" i="2"/>
  <c r="M300" i="2"/>
  <c r="M301" i="2"/>
  <c r="M302" i="2"/>
  <c r="M303" i="2"/>
  <c r="M304" i="2"/>
  <c r="M305" i="2"/>
  <c r="M306" i="2"/>
  <c r="M307" i="2"/>
  <c r="M308" i="2"/>
  <c r="M309" i="2"/>
  <c r="M310" i="2"/>
  <c r="M311" i="2"/>
  <c r="M312" i="2"/>
  <c r="M313" i="2"/>
  <c r="M314" i="2"/>
  <c r="M315" i="2"/>
  <c r="M316" i="2"/>
  <c r="M317" i="2"/>
  <c r="M318" i="2"/>
  <c r="M319" i="2"/>
  <c r="M320" i="2"/>
  <c r="M321" i="2"/>
  <c r="M322" i="2"/>
  <c r="M323" i="2"/>
  <c r="M324" i="2"/>
  <c r="M325" i="2"/>
  <c r="M326" i="2"/>
  <c r="M327" i="2"/>
  <c r="M328" i="2"/>
  <c r="M329" i="2"/>
  <c r="M330" i="2"/>
  <c r="M331" i="2"/>
  <c r="M332" i="2"/>
  <c r="M333" i="2"/>
  <c r="M334" i="2"/>
  <c r="M335" i="2"/>
  <c r="M336" i="2"/>
  <c r="M337" i="2"/>
  <c r="M338" i="2"/>
  <c r="M339" i="2"/>
  <c r="M340" i="2"/>
  <c r="M341" i="2"/>
  <c r="M342" i="2"/>
  <c r="M343" i="2"/>
  <c r="M344" i="2"/>
  <c r="M345" i="2"/>
  <c r="M346" i="2"/>
  <c r="M347" i="2"/>
  <c r="M348" i="2"/>
  <c r="M349" i="2"/>
  <c r="M350" i="2"/>
  <c r="M351" i="2"/>
  <c r="M352" i="2"/>
  <c r="M353" i="2"/>
  <c r="M354" i="2"/>
  <c r="M355" i="2"/>
  <c r="M356" i="2"/>
  <c r="M357" i="2"/>
  <c r="M358" i="2"/>
  <c r="M359" i="2"/>
  <c r="M360" i="2"/>
  <c r="M361" i="2"/>
  <c r="M362" i="2"/>
  <c r="M363" i="2"/>
  <c r="M364" i="2"/>
  <c r="M365" i="2"/>
  <c r="M366" i="2"/>
  <c r="M367" i="2"/>
  <c r="M368" i="2"/>
  <c r="M369" i="2"/>
  <c r="M370" i="2"/>
  <c r="M371" i="2"/>
  <c r="M372" i="2"/>
  <c r="M373" i="2"/>
  <c r="M374" i="2"/>
  <c r="M375" i="2"/>
  <c r="M376" i="2"/>
  <c r="M377" i="2"/>
  <c r="M378" i="2"/>
  <c r="M379" i="2"/>
  <c r="M380" i="2"/>
  <c r="M381" i="2"/>
  <c r="M382" i="2"/>
  <c r="M383" i="2"/>
  <c r="M384" i="2"/>
  <c r="M385" i="2"/>
  <c r="M386" i="2"/>
  <c r="M387" i="2"/>
  <c r="M388" i="2"/>
  <c r="M389" i="2"/>
  <c r="M390" i="2"/>
  <c r="M391" i="2"/>
  <c r="M392" i="2"/>
  <c r="M393" i="2"/>
  <c r="M394" i="2"/>
  <c r="M395" i="2"/>
  <c r="M396" i="2"/>
  <c r="M397" i="2"/>
  <c r="M398" i="2"/>
  <c r="M399" i="2"/>
  <c r="M400" i="2"/>
  <c r="M401" i="2"/>
  <c r="M402" i="2"/>
  <c r="M403" i="2"/>
  <c r="M404" i="2"/>
  <c r="M405" i="2"/>
  <c r="M406" i="2"/>
  <c r="M407" i="2"/>
  <c r="M408" i="2"/>
  <c r="M409" i="2"/>
  <c r="M410" i="2"/>
  <c r="M411" i="2"/>
  <c r="M412" i="2"/>
  <c r="M413" i="2"/>
  <c r="M414" i="2"/>
  <c r="M415" i="2"/>
  <c r="M416" i="2"/>
  <c r="M417" i="2"/>
  <c r="M418" i="2"/>
  <c r="M419" i="2"/>
  <c r="M420" i="2"/>
  <c r="M421" i="2"/>
  <c r="M422" i="2"/>
  <c r="M423" i="2"/>
  <c r="M424" i="2"/>
  <c r="M425" i="2"/>
  <c r="M426" i="2"/>
  <c r="M427" i="2"/>
  <c r="M428" i="2"/>
  <c r="M429" i="2"/>
  <c r="M430" i="2"/>
  <c r="M431" i="2"/>
  <c r="M432" i="2"/>
  <c r="M433" i="2"/>
  <c r="M434" i="2"/>
  <c r="M435" i="2"/>
  <c r="M436" i="2"/>
  <c r="M437" i="2"/>
  <c r="M438" i="2"/>
  <c r="M439" i="2"/>
  <c r="M440" i="2"/>
  <c r="M441" i="2"/>
  <c r="M442" i="2"/>
  <c r="M443" i="2"/>
  <c r="M444" i="2"/>
  <c r="M445" i="2"/>
  <c r="M446" i="2"/>
  <c r="M447" i="2"/>
  <c r="M448" i="2"/>
  <c r="M449" i="2"/>
  <c r="M450" i="2"/>
  <c r="M451" i="2"/>
  <c r="M452" i="2"/>
  <c r="M453" i="2"/>
  <c r="M454" i="2"/>
  <c r="M455" i="2"/>
  <c r="M456" i="2"/>
  <c r="M457" i="2"/>
  <c r="M458" i="2"/>
  <c r="M459" i="2"/>
  <c r="M460" i="2"/>
  <c r="M461" i="2"/>
  <c r="M462" i="2"/>
  <c r="M463" i="2"/>
  <c r="M464" i="2"/>
  <c r="M465" i="2"/>
  <c r="M466" i="2"/>
  <c r="M467" i="2"/>
  <c r="M468" i="2"/>
  <c r="M469" i="2"/>
  <c r="M470" i="2"/>
  <c r="M471" i="2"/>
  <c r="M472" i="2"/>
  <c r="M473" i="2"/>
  <c r="M474" i="2"/>
  <c r="M475" i="2"/>
  <c r="M476" i="2"/>
  <c r="M477" i="2"/>
  <c r="M478" i="2"/>
  <c r="M479" i="2"/>
  <c r="M480" i="2"/>
  <c r="M481" i="2"/>
  <c r="M482" i="2"/>
  <c r="M483" i="2"/>
  <c r="M484" i="2"/>
  <c r="M485" i="2"/>
  <c r="M486" i="2"/>
  <c r="M487" i="2"/>
  <c r="M488" i="2"/>
  <c r="M489" i="2"/>
  <c r="M490" i="2"/>
  <c r="M491" i="2"/>
  <c r="M492" i="2"/>
  <c r="M493" i="2"/>
  <c r="M494" i="2"/>
  <c r="M495" i="2"/>
  <c r="M496" i="2"/>
  <c r="M497" i="2"/>
  <c r="M498" i="2"/>
  <c r="M499" i="2"/>
  <c r="M500" i="2"/>
  <c r="M501" i="2"/>
  <c r="M502" i="2"/>
  <c r="M503" i="2"/>
  <c r="M504" i="2"/>
  <c r="M505" i="2"/>
  <c r="M506" i="2"/>
  <c r="M507" i="2"/>
  <c r="M508" i="2"/>
  <c r="M509" i="2"/>
  <c r="M510" i="2"/>
  <c r="M511" i="2"/>
  <c r="M512" i="2"/>
  <c r="M513" i="2"/>
  <c r="M514" i="2"/>
  <c r="M515" i="2"/>
  <c r="M516" i="2"/>
  <c r="M517" i="2"/>
  <c r="M518" i="2"/>
  <c r="M519" i="2"/>
  <c r="M520" i="2"/>
  <c r="M521" i="2"/>
  <c r="M522" i="2"/>
  <c r="M523" i="2"/>
  <c r="M524" i="2"/>
  <c r="M525" i="2"/>
  <c r="M526" i="2"/>
  <c r="M527" i="2"/>
  <c r="M528" i="2"/>
  <c r="M529" i="2"/>
  <c r="M530" i="2"/>
  <c r="M531" i="2"/>
  <c r="M532" i="2"/>
  <c r="M533" i="2"/>
  <c r="M534" i="2"/>
  <c r="M535" i="2"/>
  <c r="M536" i="2"/>
  <c r="M537" i="2"/>
  <c r="M538" i="2"/>
  <c r="M539" i="2"/>
  <c r="M540" i="2"/>
  <c r="M541" i="2"/>
  <c r="M542" i="2"/>
  <c r="M543" i="2"/>
  <c r="M544" i="2"/>
  <c r="M545" i="2"/>
  <c r="M546" i="2"/>
  <c r="M547" i="2"/>
  <c r="M548" i="2"/>
  <c r="M549" i="2"/>
  <c r="M550" i="2"/>
  <c r="M551" i="2"/>
  <c r="M552" i="2"/>
  <c r="M553" i="2"/>
  <c r="M554" i="2"/>
  <c r="M555" i="2"/>
  <c r="M556" i="2"/>
  <c r="M557" i="2"/>
  <c r="M558" i="2"/>
  <c r="M559" i="2"/>
  <c r="M560" i="2"/>
  <c r="M561" i="2"/>
  <c r="M562" i="2"/>
  <c r="M563" i="2"/>
  <c r="M564" i="2"/>
  <c r="M565" i="2"/>
  <c r="M566" i="2"/>
  <c r="M567" i="2"/>
  <c r="M568" i="2"/>
  <c r="M569" i="2"/>
  <c r="M570" i="2"/>
  <c r="M571" i="2"/>
  <c r="M572" i="2"/>
  <c r="M573" i="2"/>
  <c r="M574" i="2"/>
  <c r="M575" i="2"/>
  <c r="M576" i="2"/>
  <c r="M577" i="2"/>
  <c r="M578" i="2"/>
  <c r="M579" i="2"/>
  <c r="M580" i="2"/>
  <c r="M581" i="2"/>
  <c r="M582" i="2"/>
  <c r="M583" i="2"/>
  <c r="M584" i="2"/>
  <c r="M585" i="2"/>
  <c r="M586" i="2"/>
  <c r="M587" i="2"/>
  <c r="M588" i="2"/>
  <c r="M589" i="2"/>
  <c r="M590" i="2"/>
  <c r="M591" i="2"/>
  <c r="M592" i="2"/>
  <c r="M593" i="2"/>
  <c r="M594" i="2"/>
  <c r="M595" i="2"/>
  <c r="M596" i="2"/>
  <c r="M597" i="2"/>
  <c r="M598" i="2"/>
  <c r="M599" i="2"/>
  <c r="M600" i="2"/>
  <c r="M601" i="2"/>
  <c r="M602" i="2"/>
  <c r="M603" i="2"/>
  <c r="M604" i="2"/>
  <c r="M605" i="2"/>
  <c r="M606" i="2"/>
  <c r="M607" i="2"/>
  <c r="M608" i="2"/>
  <c r="M609" i="2"/>
  <c r="M610" i="2"/>
  <c r="M611" i="2"/>
  <c r="M612" i="2"/>
  <c r="M613" i="2"/>
  <c r="M614" i="2"/>
  <c r="M615" i="2"/>
  <c r="M616" i="2"/>
  <c r="M617" i="2"/>
  <c r="M618" i="2"/>
  <c r="M619" i="2"/>
  <c r="M620" i="2"/>
  <c r="M621" i="2"/>
  <c r="M622" i="2"/>
  <c r="M623" i="2"/>
  <c r="M624" i="2"/>
  <c r="M625" i="2"/>
  <c r="M626" i="2"/>
  <c r="M627" i="2"/>
  <c r="M628" i="2"/>
  <c r="M629" i="2"/>
  <c r="M630" i="2"/>
  <c r="M631" i="2"/>
  <c r="M632" i="2"/>
  <c r="M633" i="2"/>
  <c r="M634" i="2"/>
  <c r="M635" i="2"/>
  <c r="M636" i="2"/>
  <c r="M637" i="2"/>
  <c r="M638" i="2"/>
  <c r="M639" i="2"/>
  <c r="M640" i="2"/>
  <c r="M641" i="2"/>
  <c r="M642" i="2"/>
  <c r="M643" i="2"/>
  <c r="M644" i="2"/>
  <c r="M645" i="2"/>
  <c r="M646" i="2"/>
  <c r="M647" i="2"/>
  <c r="M648" i="2"/>
  <c r="M649" i="2"/>
  <c r="M650" i="2"/>
  <c r="M651" i="2"/>
  <c r="M652" i="2"/>
  <c r="M653" i="2"/>
  <c r="M654" i="2"/>
  <c r="M655" i="2"/>
  <c r="M656" i="2"/>
  <c r="M657" i="2"/>
  <c r="M658" i="2"/>
  <c r="M659" i="2"/>
  <c r="M660" i="2"/>
  <c r="M661" i="2"/>
  <c r="M662" i="2"/>
  <c r="M663" i="2"/>
  <c r="M664" i="2"/>
  <c r="M665" i="2"/>
  <c r="M666" i="2"/>
  <c r="M667" i="2"/>
  <c r="M668" i="2"/>
  <c r="M669" i="2"/>
  <c r="M670" i="2"/>
  <c r="M671" i="2"/>
  <c r="M672" i="2"/>
  <c r="M673" i="2"/>
  <c r="M674" i="2"/>
  <c r="M675" i="2"/>
  <c r="M676" i="2"/>
  <c r="M677" i="2"/>
  <c r="M678" i="2"/>
  <c r="M679" i="2"/>
  <c r="M680" i="2"/>
  <c r="M681" i="2"/>
  <c r="M682" i="2"/>
  <c r="M683" i="2"/>
  <c r="M684" i="2"/>
  <c r="M685" i="2"/>
  <c r="M686" i="2"/>
  <c r="M687" i="2"/>
  <c r="M688" i="2"/>
  <c r="M689" i="2"/>
  <c r="M690" i="2"/>
  <c r="M691" i="2"/>
  <c r="M692" i="2"/>
  <c r="M693" i="2"/>
  <c r="M694" i="2"/>
  <c r="M695" i="2"/>
  <c r="M696" i="2"/>
  <c r="M697" i="2"/>
  <c r="M698" i="2"/>
  <c r="M699" i="2"/>
  <c r="M700" i="2"/>
  <c r="M701" i="2"/>
  <c r="M702" i="2"/>
  <c r="M703" i="2"/>
  <c r="M704" i="2"/>
  <c r="M705" i="2"/>
  <c r="M706" i="2"/>
  <c r="M707" i="2"/>
  <c r="M708" i="2"/>
  <c r="M709" i="2"/>
  <c r="M710" i="2"/>
  <c r="M711" i="2"/>
  <c r="M712" i="2"/>
  <c r="M713" i="2"/>
  <c r="M714" i="2"/>
  <c r="M715" i="2"/>
  <c r="M716" i="2"/>
  <c r="M717" i="2"/>
  <c r="M718" i="2"/>
  <c r="M719" i="2"/>
  <c r="M720" i="2"/>
  <c r="M721" i="2"/>
  <c r="M722" i="2"/>
  <c r="M723" i="2"/>
  <c r="M724" i="2"/>
  <c r="M725" i="2"/>
  <c r="M726" i="2"/>
  <c r="M727" i="2"/>
  <c r="M728" i="2"/>
  <c r="M729" i="2"/>
  <c r="M730" i="2"/>
  <c r="M731" i="2"/>
  <c r="M732" i="2"/>
  <c r="M733" i="2"/>
  <c r="M734" i="2"/>
  <c r="M735" i="2"/>
  <c r="M736" i="2"/>
  <c r="M737" i="2"/>
  <c r="M738" i="2"/>
  <c r="M739" i="2"/>
  <c r="M740" i="2"/>
  <c r="M741" i="2"/>
  <c r="M742" i="2"/>
  <c r="M743" i="2"/>
  <c r="M744" i="2"/>
  <c r="M745" i="2"/>
  <c r="M746" i="2"/>
  <c r="M747" i="2"/>
  <c r="M748" i="2"/>
  <c r="M749" i="2"/>
  <c r="M750" i="2"/>
  <c r="M751" i="2"/>
  <c r="M752" i="2"/>
  <c r="M753" i="2"/>
  <c r="M754" i="2"/>
  <c r="M755" i="2"/>
  <c r="M756" i="2"/>
  <c r="M757" i="2"/>
  <c r="M758" i="2"/>
  <c r="M759" i="2"/>
  <c r="M760" i="2"/>
  <c r="M761" i="2"/>
  <c r="M762" i="2"/>
  <c r="M763" i="2"/>
  <c r="M764" i="2"/>
  <c r="M765" i="2"/>
  <c r="M766" i="2"/>
  <c r="M767" i="2"/>
  <c r="M768" i="2"/>
  <c r="M769" i="2"/>
  <c r="M770" i="2"/>
  <c r="M771" i="2"/>
  <c r="M772" i="2"/>
  <c r="M773" i="2"/>
  <c r="M774" i="2"/>
  <c r="M775" i="2"/>
  <c r="M776" i="2"/>
  <c r="M777" i="2"/>
  <c r="M778" i="2"/>
  <c r="M779" i="2"/>
  <c r="M780" i="2"/>
  <c r="M781" i="2"/>
  <c r="M782" i="2"/>
  <c r="M783" i="2"/>
  <c r="M784" i="2"/>
  <c r="M785" i="2"/>
  <c r="M786" i="2"/>
  <c r="M787" i="2"/>
  <c r="M788" i="2"/>
  <c r="M789" i="2"/>
  <c r="M790" i="2"/>
  <c r="M791" i="2"/>
  <c r="M792" i="2"/>
  <c r="M793" i="2"/>
  <c r="M794" i="2"/>
  <c r="M795" i="2"/>
  <c r="M796" i="2"/>
  <c r="M797" i="2"/>
  <c r="M798" i="2"/>
  <c r="M799" i="2"/>
  <c r="M800" i="2"/>
  <c r="M801" i="2"/>
  <c r="M802" i="2"/>
  <c r="M803" i="2"/>
  <c r="M804" i="2"/>
  <c r="M805" i="2"/>
  <c r="M806" i="2"/>
  <c r="M807" i="2"/>
  <c r="M808" i="2"/>
  <c r="M809" i="2"/>
  <c r="M810" i="2"/>
  <c r="M811" i="2"/>
  <c r="M812" i="2"/>
  <c r="M813" i="2"/>
  <c r="M814" i="2"/>
  <c r="M815" i="2"/>
  <c r="M816" i="2"/>
  <c r="M817" i="2"/>
  <c r="M818" i="2"/>
  <c r="M819" i="2"/>
  <c r="M820" i="2"/>
  <c r="M821" i="2"/>
  <c r="M822" i="2"/>
  <c r="M823" i="2"/>
  <c r="M824" i="2"/>
  <c r="M825" i="2"/>
  <c r="M826" i="2"/>
  <c r="M827" i="2"/>
  <c r="M828" i="2"/>
  <c r="M829" i="2"/>
  <c r="M830" i="2"/>
  <c r="M831" i="2"/>
  <c r="M832" i="2"/>
  <c r="M833" i="2"/>
  <c r="M834" i="2"/>
  <c r="M835" i="2"/>
  <c r="M836" i="2"/>
  <c r="M837" i="2"/>
  <c r="M838" i="2"/>
  <c r="M839" i="2"/>
  <c r="M840" i="2"/>
  <c r="M841" i="2"/>
  <c r="M842" i="2"/>
  <c r="M843" i="2"/>
  <c r="M844" i="2"/>
  <c r="M845" i="2"/>
  <c r="M846" i="2"/>
  <c r="M847" i="2"/>
  <c r="M848" i="2"/>
  <c r="M849" i="2"/>
  <c r="M850" i="2"/>
  <c r="M851" i="2"/>
  <c r="M852" i="2"/>
  <c r="M853" i="2"/>
  <c r="M854" i="2"/>
  <c r="M855" i="2"/>
  <c r="M856" i="2"/>
  <c r="M857" i="2"/>
  <c r="M858" i="2"/>
  <c r="M859" i="2"/>
  <c r="M860" i="2"/>
  <c r="M861" i="2"/>
  <c r="M862" i="2"/>
  <c r="M863" i="2"/>
  <c r="M864" i="2"/>
  <c r="M865" i="2"/>
  <c r="M866" i="2"/>
  <c r="M867" i="2"/>
  <c r="M868" i="2"/>
  <c r="M869" i="2"/>
  <c r="M870" i="2"/>
  <c r="M871" i="2"/>
  <c r="M872" i="2"/>
  <c r="M873" i="2"/>
  <c r="M874" i="2"/>
  <c r="M875" i="2"/>
  <c r="M876" i="2"/>
  <c r="M877" i="2"/>
  <c r="M878" i="2"/>
  <c r="M879" i="2"/>
  <c r="M880" i="2"/>
  <c r="M881" i="2"/>
  <c r="M882" i="2"/>
  <c r="M883" i="2"/>
  <c r="M884" i="2"/>
  <c r="M885" i="2"/>
  <c r="M886" i="2"/>
  <c r="M887" i="2"/>
  <c r="M888" i="2"/>
  <c r="M889" i="2"/>
  <c r="M890" i="2"/>
  <c r="M891" i="2"/>
  <c r="M892" i="2"/>
  <c r="M893" i="2"/>
  <c r="M894" i="2"/>
  <c r="M895" i="2"/>
  <c r="M896" i="2"/>
  <c r="M897" i="2"/>
  <c r="M898" i="2"/>
  <c r="M899" i="2"/>
  <c r="M900" i="2"/>
  <c r="M901" i="2"/>
  <c r="M902" i="2"/>
  <c r="M903" i="2"/>
  <c r="M904" i="2"/>
  <c r="M905" i="2"/>
  <c r="M906" i="2"/>
  <c r="M907" i="2"/>
  <c r="M908" i="2"/>
  <c r="M909" i="2"/>
  <c r="M910" i="2"/>
  <c r="M911" i="2"/>
  <c r="M912" i="2"/>
  <c r="M913" i="2"/>
  <c r="M914" i="2"/>
  <c r="M915" i="2"/>
  <c r="M916" i="2"/>
  <c r="M917" i="2"/>
  <c r="M918" i="2"/>
  <c r="M919" i="2"/>
  <c r="M920" i="2"/>
  <c r="M921" i="2"/>
  <c r="M922" i="2"/>
  <c r="M923" i="2"/>
  <c r="M924" i="2"/>
  <c r="M925" i="2"/>
  <c r="M926" i="2"/>
  <c r="M927" i="2"/>
  <c r="M928" i="2"/>
  <c r="M929" i="2"/>
  <c r="M930" i="2"/>
  <c r="M931" i="2"/>
  <c r="M932" i="2"/>
  <c r="M933" i="2"/>
  <c r="M934" i="2"/>
  <c r="M935" i="2"/>
  <c r="M936" i="2"/>
  <c r="M937" i="2"/>
  <c r="M938" i="2"/>
  <c r="M939" i="2"/>
  <c r="M940" i="2"/>
  <c r="M941" i="2"/>
  <c r="M942" i="2"/>
  <c r="M943" i="2"/>
  <c r="M944" i="2"/>
  <c r="M945" i="2"/>
  <c r="M946" i="2"/>
  <c r="M947" i="2"/>
  <c r="M948" i="2"/>
  <c r="M949" i="2"/>
  <c r="M950" i="2"/>
  <c r="M951" i="2"/>
  <c r="M952" i="2"/>
  <c r="M953" i="2"/>
  <c r="M954" i="2"/>
  <c r="M955" i="2"/>
  <c r="M956" i="2"/>
  <c r="M957" i="2"/>
  <c r="M958" i="2"/>
  <c r="M959" i="2"/>
  <c r="M960" i="2"/>
  <c r="M961" i="2"/>
  <c r="M962" i="2"/>
  <c r="M963" i="2"/>
  <c r="M964" i="2"/>
  <c r="M965" i="2"/>
  <c r="M966" i="2"/>
  <c r="M967" i="2"/>
  <c r="M968" i="2"/>
  <c r="M969" i="2"/>
  <c r="M970" i="2"/>
  <c r="M971" i="2"/>
  <c r="M972" i="2"/>
  <c r="M973" i="2"/>
  <c r="M974" i="2"/>
  <c r="M975" i="2"/>
  <c r="M976" i="2"/>
  <c r="M977" i="2"/>
  <c r="M978" i="2"/>
  <c r="M979" i="2"/>
  <c r="M980" i="2"/>
  <c r="M981" i="2"/>
  <c r="M982" i="2"/>
  <c r="M983" i="2"/>
  <c r="M984" i="2"/>
  <c r="M985" i="2"/>
  <c r="M986" i="2"/>
  <c r="M987" i="2"/>
  <c r="M988" i="2"/>
  <c r="M989" i="2"/>
  <c r="M990" i="2"/>
  <c r="M991" i="2"/>
  <c r="M992" i="2"/>
  <c r="M993" i="2"/>
  <c r="M994" i="2"/>
  <c r="M995" i="2"/>
  <c r="M996" i="2"/>
  <c r="M997" i="2"/>
  <c r="M998" i="2"/>
  <c r="M999" i="2"/>
  <c r="M1000" i="2"/>
  <c r="M1001" i="2"/>
  <c r="M2" i="2"/>
  <c r="B22" i="5"/>
  <c r="B21" i="5"/>
  <c r="B20" i="5"/>
  <c r="B19" i="5"/>
  <c r="E17" i="5" a="1"/>
  <c r="E17" i="5" s="1"/>
  <c r="C13" i="5"/>
  <c r="C9" i="5" a="1"/>
  <c r="C9" i="5" s="1"/>
  <c r="C14" i="5" s="1"/>
  <c r="E15" i="5"/>
  <c r="E14" i="5"/>
  <c r="C12" i="5"/>
  <c r="C10" i="5"/>
  <c r="B13" i="5"/>
  <c r="B12" i="5"/>
  <c r="B11" i="5"/>
  <c r="B10" i="5"/>
  <c r="B9" i="5"/>
  <c r="B3" i="5"/>
  <c r="B2" i="5"/>
  <c r="K425" i="2"/>
  <c r="L425" i="2" s="1"/>
  <c r="K426" i="2"/>
  <c r="L426" i="2" s="1"/>
  <c r="K427" i="2"/>
  <c r="L427" i="2" s="1"/>
  <c r="K147" i="2"/>
  <c r="L147" i="2" s="1"/>
  <c r="K428" i="2"/>
  <c r="L428" i="2" s="1"/>
  <c r="K429" i="2"/>
  <c r="L429" i="2" s="1"/>
  <c r="K430" i="2"/>
  <c r="L430" i="2" s="1"/>
  <c r="K89" i="2"/>
  <c r="L89" i="2" s="1"/>
  <c r="K431" i="2"/>
  <c r="L431" i="2" s="1"/>
  <c r="K432" i="2"/>
  <c r="L432" i="2" s="1"/>
  <c r="K433" i="2"/>
  <c r="L433" i="2" s="1"/>
  <c r="K148" i="2"/>
  <c r="L148" i="2" s="1"/>
  <c r="K434" i="2"/>
  <c r="L434" i="2" s="1"/>
  <c r="K435" i="2"/>
  <c r="L435" i="2" s="1"/>
  <c r="K436" i="2"/>
  <c r="L436" i="2" s="1"/>
  <c r="K437" i="2"/>
  <c r="L437" i="2" s="1"/>
  <c r="K438" i="2"/>
  <c r="L438" i="2" s="1"/>
  <c r="K439" i="2"/>
  <c r="L439" i="2" s="1"/>
  <c r="K440" i="2"/>
  <c r="L440" i="2" s="1"/>
  <c r="K441" i="2"/>
  <c r="L441" i="2" s="1"/>
  <c r="K442" i="2"/>
  <c r="L442" i="2" s="1"/>
  <c r="K443" i="2"/>
  <c r="L443" i="2" s="1"/>
  <c r="K444" i="2"/>
  <c r="L444" i="2" s="1"/>
  <c r="K445" i="2"/>
  <c r="L445" i="2" s="1"/>
  <c r="K446" i="2"/>
  <c r="L446" i="2" s="1"/>
  <c r="K447" i="2"/>
  <c r="L447" i="2" s="1"/>
  <c r="K149" i="2"/>
  <c r="L149" i="2" s="1"/>
  <c r="K448" i="2"/>
  <c r="L448" i="2" s="1"/>
  <c r="K449" i="2"/>
  <c r="L449" i="2" s="1"/>
  <c r="K450" i="2"/>
  <c r="L450" i="2" s="1"/>
  <c r="K451" i="2"/>
  <c r="L451" i="2" s="1"/>
  <c r="K452" i="2"/>
  <c r="L452" i="2" s="1"/>
  <c r="K453" i="2"/>
  <c r="L453" i="2" s="1"/>
  <c r="K90" i="2"/>
  <c r="L90" i="2" s="1"/>
  <c r="K150" i="2"/>
  <c r="L150" i="2" s="1"/>
  <c r="K454" i="2"/>
  <c r="L454" i="2" s="1"/>
  <c r="K455" i="2"/>
  <c r="L455" i="2" s="1"/>
  <c r="K456" i="2"/>
  <c r="L456" i="2" s="1"/>
  <c r="K457" i="2"/>
  <c r="L457" i="2" s="1"/>
  <c r="K458" i="2"/>
  <c r="L458" i="2" s="1"/>
  <c r="K459" i="2"/>
  <c r="L459" i="2" s="1"/>
  <c r="K460" i="2"/>
  <c r="L460" i="2" s="1"/>
  <c r="K461" i="2"/>
  <c r="L461" i="2" s="1"/>
  <c r="K462" i="2"/>
  <c r="L462" i="2" s="1"/>
  <c r="K151" i="2"/>
  <c r="L151" i="2" s="1"/>
  <c r="K463" i="2"/>
  <c r="L463" i="2" s="1"/>
  <c r="K464" i="2"/>
  <c r="L464" i="2" s="1"/>
  <c r="K54" i="2"/>
  <c r="L54" i="2" s="1"/>
  <c r="K465" i="2"/>
  <c r="L465" i="2" s="1"/>
  <c r="K466" i="2"/>
  <c r="L466" i="2" s="1"/>
  <c r="K467" i="2"/>
  <c r="L467" i="2" s="1"/>
  <c r="K152" i="2"/>
  <c r="L152" i="2" s="1"/>
  <c r="K468" i="2"/>
  <c r="L468" i="2" s="1"/>
  <c r="K469" i="2"/>
  <c r="L469" i="2" s="1"/>
  <c r="K470" i="2"/>
  <c r="L470" i="2" s="1"/>
  <c r="K471" i="2"/>
  <c r="L471" i="2" s="1"/>
  <c r="K472" i="2"/>
  <c r="L472" i="2" s="1"/>
  <c r="K473" i="2"/>
  <c r="L473" i="2" s="1"/>
  <c r="K474" i="2"/>
  <c r="L474" i="2" s="1"/>
  <c r="K475" i="2"/>
  <c r="L475" i="2" s="1"/>
  <c r="K476" i="2"/>
  <c r="L476" i="2" s="1"/>
  <c r="K477" i="2"/>
  <c r="L477" i="2" s="1"/>
  <c r="K478" i="2"/>
  <c r="L478" i="2" s="1"/>
  <c r="K479" i="2"/>
  <c r="L479" i="2" s="1"/>
  <c r="K480" i="2"/>
  <c r="L480" i="2" s="1"/>
  <c r="K481" i="2"/>
  <c r="L481" i="2" s="1"/>
  <c r="K91" i="2"/>
  <c r="L91" i="2" s="1"/>
  <c r="K482" i="2"/>
  <c r="L482" i="2" s="1"/>
  <c r="K483" i="2"/>
  <c r="L483" i="2" s="1"/>
  <c r="K484" i="2"/>
  <c r="L484" i="2" s="1"/>
  <c r="K485" i="2"/>
  <c r="L485" i="2" s="1"/>
  <c r="K486" i="2"/>
  <c r="L486" i="2" s="1"/>
  <c r="K487" i="2"/>
  <c r="L487" i="2" s="1"/>
  <c r="K488" i="2"/>
  <c r="L488" i="2" s="1"/>
  <c r="K489" i="2"/>
  <c r="L489" i="2" s="1"/>
  <c r="K490" i="2"/>
  <c r="L490" i="2" s="1"/>
  <c r="K491" i="2"/>
  <c r="L491" i="2" s="1"/>
  <c r="K492" i="2"/>
  <c r="L492" i="2" s="1"/>
  <c r="K493" i="2"/>
  <c r="L493" i="2" s="1"/>
  <c r="K494" i="2"/>
  <c r="L494" i="2" s="1"/>
  <c r="K495" i="2"/>
  <c r="L495" i="2" s="1"/>
  <c r="K496" i="2"/>
  <c r="L496" i="2" s="1"/>
  <c r="K497" i="2"/>
  <c r="L497" i="2" s="1"/>
  <c r="K498" i="2"/>
  <c r="L498" i="2" s="1"/>
  <c r="K499" i="2"/>
  <c r="L499" i="2" s="1"/>
  <c r="K153" i="2"/>
  <c r="L153" i="2" s="1"/>
  <c r="K500" i="2"/>
  <c r="L500" i="2" s="1"/>
  <c r="K154" i="2"/>
  <c r="L154" i="2" s="1"/>
  <c r="K155" i="2"/>
  <c r="L155" i="2" s="1"/>
  <c r="K501" i="2"/>
  <c r="L501" i="2" s="1"/>
  <c r="K502" i="2"/>
  <c r="L502" i="2" s="1"/>
  <c r="K503" i="2"/>
  <c r="L503" i="2" s="1"/>
  <c r="K504" i="2"/>
  <c r="L504" i="2" s="1"/>
  <c r="K505" i="2"/>
  <c r="L505" i="2" s="1"/>
  <c r="K506" i="2"/>
  <c r="L506" i="2" s="1"/>
  <c r="K507" i="2"/>
  <c r="L507" i="2" s="1"/>
  <c r="K508" i="2"/>
  <c r="L508" i="2" s="1"/>
  <c r="K509" i="2"/>
  <c r="L509" i="2" s="1"/>
  <c r="K510" i="2"/>
  <c r="L510" i="2" s="1"/>
  <c r="K511" i="2"/>
  <c r="L511" i="2" s="1"/>
  <c r="K512" i="2"/>
  <c r="L512" i="2" s="1"/>
  <c r="K513" i="2"/>
  <c r="L513" i="2" s="1"/>
  <c r="K514" i="2"/>
  <c r="L514" i="2" s="1"/>
  <c r="K515" i="2"/>
  <c r="L515" i="2" s="1"/>
  <c r="K516" i="2"/>
  <c r="L516" i="2" s="1"/>
  <c r="K517" i="2"/>
  <c r="L517" i="2" s="1"/>
  <c r="K518" i="2"/>
  <c r="L518" i="2" s="1"/>
  <c r="K519" i="2"/>
  <c r="L519" i="2" s="1"/>
  <c r="K520" i="2"/>
  <c r="L520" i="2" s="1"/>
  <c r="K521" i="2"/>
  <c r="L521" i="2" s="1"/>
  <c r="K2" i="2"/>
  <c r="L2" i="2" s="1"/>
  <c r="K522" i="2"/>
  <c r="L522" i="2" s="1"/>
  <c r="K523" i="2"/>
  <c r="L523" i="2" s="1"/>
  <c r="K524" i="2"/>
  <c r="L524" i="2" s="1"/>
  <c r="K525" i="2"/>
  <c r="L525" i="2" s="1"/>
  <c r="K526" i="2"/>
  <c r="L526" i="2" s="1"/>
  <c r="K527" i="2"/>
  <c r="L527" i="2" s="1"/>
  <c r="K528" i="2"/>
  <c r="L528" i="2" s="1"/>
  <c r="K529" i="2"/>
  <c r="L529" i="2" s="1"/>
  <c r="K530" i="2"/>
  <c r="L530" i="2" s="1"/>
  <c r="K531" i="2"/>
  <c r="L531" i="2" s="1"/>
  <c r="K532" i="2"/>
  <c r="L532" i="2" s="1"/>
  <c r="K533" i="2"/>
  <c r="L533" i="2" s="1"/>
  <c r="K156" i="2"/>
  <c r="L156" i="2" s="1"/>
  <c r="K534" i="2"/>
  <c r="L534" i="2" s="1"/>
  <c r="K535" i="2"/>
  <c r="L535" i="2" s="1"/>
  <c r="K536" i="2"/>
  <c r="L536" i="2" s="1"/>
  <c r="K537" i="2"/>
  <c r="L537" i="2" s="1"/>
  <c r="K538" i="2"/>
  <c r="L538" i="2" s="1"/>
  <c r="K539" i="2"/>
  <c r="L539" i="2" s="1"/>
  <c r="K540" i="2"/>
  <c r="L540" i="2" s="1"/>
  <c r="K541" i="2"/>
  <c r="L541" i="2" s="1"/>
  <c r="K542" i="2"/>
  <c r="L542" i="2" s="1"/>
  <c r="K543" i="2"/>
  <c r="L543" i="2" s="1"/>
  <c r="K544" i="2"/>
  <c r="L544" i="2" s="1"/>
  <c r="K545" i="2"/>
  <c r="L545" i="2" s="1"/>
  <c r="K546" i="2"/>
  <c r="L546" i="2" s="1"/>
  <c r="K547" i="2"/>
  <c r="L547" i="2" s="1"/>
  <c r="K548" i="2"/>
  <c r="L548" i="2" s="1"/>
  <c r="K549" i="2"/>
  <c r="L549" i="2" s="1"/>
  <c r="K550" i="2"/>
  <c r="L550" i="2" s="1"/>
  <c r="K551" i="2"/>
  <c r="L551" i="2" s="1"/>
  <c r="K552" i="2"/>
  <c r="L552" i="2" s="1"/>
  <c r="K553" i="2"/>
  <c r="L553" i="2" s="1"/>
  <c r="K554" i="2"/>
  <c r="L554" i="2" s="1"/>
  <c r="K555" i="2"/>
  <c r="L555" i="2" s="1"/>
  <c r="K556" i="2"/>
  <c r="L556" i="2" s="1"/>
  <c r="K557" i="2"/>
  <c r="L557" i="2" s="1"/>
  <c r="K558" i="2"/>
  <c r="L558" i="2" s="1"/>
  <c r="K157" i="2"/>
  <c r="L157" i="2" s="1"/>
  <c r="K559" i="2"/>
  <c r="L559" i="2" s="1"/>
  <c r="K560" i="2"/>
  <c r="L560" i="2" s="1"/>
  <c r="K561" i="2"/>
  <c r="L561" i="2" s="1"/>
  <c r="K562" i="2"/>
  <c r="L562" i="2" s="1"/>
  <c r="K563" i="2"/>
  <c r="L563" i="2" s="1"/>
  <c r="K564" i="2"/>
  <c r="L564" i="2" s="1"/>
  <c r="K158" i="2"/>
  <c r="L158" i="2" s="1"/>
  <c r="K565" i="2"/>
  <c r="L565" i="2" s="1"/>
  <c r="K566" i="2"/>
  <c r="L566" i="2" s="1"/>
  <c r="K567" i="2"/>
  <c r="L567" i="2" s="1"/>
  <c r="K42" i="2"/>
  <c r="L42" i="2" s="1"/>
  <c r="K159" i="2"/>
  <c r="L159" i="2" s="1"/>
  <c r="K568" i="2"/>
  <c r="L568" i="2" s="1"/>
  <c r="K569" i="2"/>
  <c r="L569" i="2" s="1"/>
  <c r="K160" i="2"/>
  <c r="L160" i="2" s="1"/>
  <c r="K570" i="2"/>
  <c r="L570" i="2" s="1"/>
  <c r="K571" i="2"/>
  <c r="L571" i="2" s="1"/>
  <c r="K161" i="2"/>
  <c r="L161" i="2" s="1"/>
  <c r="K162" i="2"/>
  <c r="L162" i="2" s="1"/>
  <c r="K572" i="2"/>
  <c r="L572" i="2" s="1"/>
  <c r="K573" i="2"/>
  <c r="L573" i="2" s="1"/>
  <c r="K163" i="2"/>
  <c r="L163" i="2" s="1"/>
  <c r="K574" i="2"/>
  <c r="L574" i="2" s="1"/>
  <c r="K575" i="2"/>
  <c r="L575" i="2" s="1"/>
  <c r="K164" i="2"/>
  <c r="L164" i="2" s="1"/>
  <c r="K92" i="2"/>
  <c r="L92" i="2" s="1"/>
  <c r="K576" i="2"/>
  <c r="L576" i="2" s="1"/>
  <c r="K577" i="2"/>
  <c r="L577" i="2" s="1"/>
  <c r="K165" i="2"/>
  <c r="L165" i="2" s="1"/>
  <c r="K93" i="2"/>
  <c r="L93" i="2" s="1"/>
  <c r="K166" i="2"/>
  <c r="L166" i="2" s="1"/>
  <c r="K578" i="2"/>
  <c r="L578" i="2" s="1"/>
  <c r="K579" i="2"/>
  <c r="L579" i="2" s="1"/>
  <c r="K7" i="2"/>
  <c r="L7" i="2" s="1"/>
  <c r="K580" i="2"/>
  <c r="L580" i="2" s="1"/>
  <c r="K167" i="2"/>
  <c r="L167" i="2" s="1"/>
  <c r="K581" i="2"/>
  <c r="L581" i="2" s="1"/>
  <c r="K582" i="2"/>
  <c r="L582" i="2" s="1"/>
  <c r="K583" i="2"/>
  <c r="L583" i="2" s="1"/>
  <c r="K584" i="2"/>
  <c r="L584" i="2" s="1"/>
  <c r="K585" i="2"/>
  <c r="L585" i="2" s="1"/>
  <c r="K586" i="2"/>
  <c r="L586" i="2" s="1"/>
  <c r="K587" i="2"/>
  <c r="L587" i="2" s="1"/>
  <c r="K168" i="2"/>
  <c r="L168" i="2" s="1"/>
  <c r="K588" i="2"/>
  <c r="L588" i="2" s="1"/>
  <c r="K589" i="2"/>
  <c r="L589" i="2" s="1"/>
  <c r="K590" i="2"/>
  <c r="L590" i="2" s="1"/>
  <c r="K591" i="2"/>
  <c r="L591" i="2" s="1"/>
  <c r="K592" i="2"/>
  <c r="L592" i="2" s="1"/>
  <c r="K593" i="2"/>
  <c r="L593" i="2" s="1"/>
  <c r="K594" i="2"/>
  <c r="L594" i="2" s="1"/>
  <c r="K169" i="2"/>
  <c r="L169" i="2" s="1"/>
  <c r="K595" i="2"/>
  <c r="L595" i="2" s="1"/>
  <c r="K596" i="2"/>
  <c r="L596" i="2" s="1"/>
  <c r="K597" i="2"/>
  <c r="L597" i="2" s="1"/>
  <c r="K598" i="2"/>
  <c r="L598" i="2" s="1"/>
  <c r="K599" i="2"/>
  <c r="L599" i="2" s="1"/>
  <c r="K600" i="2"/>
  <c r="L600" i="2" s="1"/>
  <c r="K601" i="2"/>
  <c r="L601" i="2" s="1"/>
  <c r="K602" i="2"/>
  <c r="L602" i="2" s="1"/>
  <c r="K3" i="2"/>
  <c r="L3" i="2" s="1"/>
  <c r="K603" i="2"/>
  <c r="L603" i="2" s="1"/>
  <c r="K604" i="2"/>
  <c r="L604" i="2" s="1"/>
  <c r="K605" i="2"/>
  <c r="L605" i="2" s="1"/>
  <c r="K606" i="2"/>
  <c r="L606" i="2" s="1"/>
  <c r="K607" i="2"/>
  <c r="L607" i="2" s="1"/>
  <c r="K608" i="2"/>
  <c r="L608" i="2" s="1"/>
  <c r="K609" i="2"/>
  <c r="L609" i="2" s="1"/>
  <c r="K610" i="2"/>
  <c r="L610" i="2" s="1"/>
  <c r="K611" i="2"/>
  <c r="L611" i="2" s="1"/>
  <c r="K612" i="2"/>
  <c r="L612" i="2" s="1"/>
  <c r="K170" i="2"/>
  <c r="L170" i="2" s="1"/>
  <c r="K613" i="2"/>
  <c r="L613" i="2" s="1"/>
  <c r="K614" i="2"/>
  <c r="L614" i="2" s="1"/>
  <c r="K615" i="2"/>
  <c r="L615" i="2" s="1"/>
  <c r="K616" i="2"/>
  <c r="L616" i="2" s="1"/>
  <c r="K617" i="2"/>
  <c r="L617" i="2" s="1"/>
  <c r="K618" i="2"/>
  <c r="L618" i="2" s="1"/>
  <c r="K619" i="2"/>
  <c r="L619" i="2" s="1"/>
  <c r="K620" i="2"/>
  <c r="L620" i="2" s="1"/>
  <c r="K621" i="2"/>
  <c r="L621" i="2" s="1"/>
  <c r="K622" i="2"/>
  <c r="L622" i="2" s="1"/>
  <c r="K623" i="2"/>
  <c r="L623" i="2" s="1"/>
  <c r="K171" i="2"/>
  <c r="L171" i="2" s="1"/>
  <c r="K624" i="2"/>
  <c r="L624" i="2" s="1"/>
  <c r="K625" i="2"/>
  <c r="L625" i="2" s="1"/>
  <c r="K626" i="2"/>
  <c r="L626" i="2" s="1"/>
  <c r="K627" i="2"/>
  <c r="L627" i="2" s="1"/>
  <c r="K628" i="2"/>
  <c r="L628" i="2" s="1"/>
  <c r="K629" i="2"/>
  <c r="L629" i="2" s="1"/>
  <c r="K630" i="2"/>
  <c r="L630" i="2" s="1"/>
  <c r="K631" i="2"/>
  <c r="L631" i="2" s="1"/>
  <c r="K632" i="2"/>
  <c r="L632" i="2" s="1"/>
  <c r="K633" i="2"/>
  <c r="L633" i="2" s="1"/>
  <c r="K634" i="2"/>
  <c r="L634" i="2" s="1"/>
  <c r="K635" i="2"/>
  <c r="L635" i="2" s="1"/>
  <c r="K636" i="2"/>
  <c r="L636" i="2" s="1"/>
  <c r="K637" i="2"/>
  <c r="L637" i="2" s="1"/>
  <c r="K638" i="2"/>
  <c r="L638" i="2" s="1"/>
  <c r="K639" i="2"/>
  <c r="L639" i="2" s="1"/>
  <c r="K640" i="2"/>
  <c r="L640" i="2" s="1"/>
  <c r="K641" i="2"/>
  <c r="L641" i="2" s="1"/>
  <c r="K642" i="2"/>
  <c r="L642" i="2" s="1"/>
  <c r="K172" i="2"/>
  <c r="L172" i="2" s="1"/>
  <c r="K643" i="2"/>
  <c r="L643" i="2" s="1"/>
  <c r="K644" i="2"/>
  <c r="L644" i="2" s="1"/>
  <c r="K645" i="2"/>
  <c r="L645" i="2" s="1"/>
  <c r="K646" i="2"/>
  <c r="L646" i="2" s="1"/>
  <c r="K647" i="2"/>
  <c r="L647" i="2" s="1"/>
  <c r="K648" i="2"/>
  <c r="L648" i="2" s="1"/>
  <c r="K649" i="2"/>
  <c r="L649" i="2" s="1"/>
  <c r="K650" i="2"/>
  <c r="L650" i="2" s="1"/>
  <c r="K651" i="2"/>
  <c r="L651" i="2" s="1"/>
  <c r="K652" i="2"/>
  <c r="L652" i="2" s="1"/>
  <c r="K653" i="2"/>
  <c r="L653" i="2" s="1"/>
  <c r="K654" i="2"/>
  <c r="L654" i="2" s="1"/>
  <c r="K655" i="2"/>
  <c r="L655" i="2" s="1"/>
  <c r="K656" i="2"/>
  <c r="L656" i="2" s="1"/>
  <c r="K657" i="2"/>
  <c r="L657" i="2" s="1"/>
  <c r="K658" i="2"/>
  <c r="L658" i="2" s="1"/>
  <c r="K659" i="2"/>
  <c r="L659" i="2" s="1"/>
  <c r="K660" i="2"/>
  <c r="L660" i="2" s="1"/>
  <c r="K661" i="2"/>
  <c r="L661" i="2" s="1"/>
  <c r="K662" i="2"/>
  <c r="L662" i="2" s="1"/>
  <c r="K663" i="2"/>
  <c r="L663" i="2" s="1"/>
  <c r="K664" i="2"/>
  <c r="L664" i="2" s="1"/>
  <c r="K665" i="2"/>
  <c r="L665" i="2" s="1"/>
  <c r="K666" i="2"/>
  <c r="L666" i="2" s="1"/>
  <c r="K667" i="2"/>
  <c r="L667" i="2" s="1"/>
  <c r="K668" i="2"/>
  <c r="L668" i="2" s="1"/>
  <c r="K669" i="2"/>
  <c r="L669" i="2" s="1"/>
  <c r="K670" i="2"/>
  <c r="L670" i="2" s="1"/>
  <c r="K671" i="2"/>
  <c r="L671" i="2" s="1"/>
  <c r="K672" i="2"/>
  <c r="L672" i="2" s="1"/>
  <c r="K673" i="2"/>
  <c r="L673" i="2" s="1"/>
  <c r="K674" i="2"/>
  <c r="L674" i="2" s="1"/>
  <c r="K675" i="2"/>
  <c r="L675" i="2" s="1"/>
  <c r="K676" i="2"/>
  <c r="L676" i="2" s="1"/>
  <c r="K677" i="2"/>
  <c r="L677" i="2" s="1"/>
  <c r="K678" i="2"/>
  <c r="L678" i="2" s="1"/>
  <c r="K679" i="2"/>
  <c r="L679" i="2" s="1"/>
  <c r="K680" i="2"/>
  <c r="L680" i="2" s="1"/>
  <c r="K681" i="2"/>
  <c r="L681" i="2" s="1"/>
  <c r="K682" i="2"/>
  <c r="L682" i="2" s="1"/>
  <c r="K4" i="2"/>
  <c r="L4" i="2" s="1"/>
  <c r="K683" i="2"/>
  <c r="L683" i="2" s="1"/>
  <c r="K684" i="2"/>
  <c r="L684" i="2" s="1"/>
  <c r="K685" i="2"/>
  <c r="L685" i="2" s="1"/>
  <c r="K686" i="2"/>
  <c r="L686" i="2" s="1"/>
  <c r="K687" i="2"/>
  <c r="L687" i="2" s="1"/>
  <c r="K688" i="2"/>
  <c r="L688" i="2" s="1"/>
  <c r="K689" i="2"/>
  <c r="L689" i="2" s="1"/>
  <c r="K690" i="2"/>
  <c r="L690" i="2" s="1"/>
  <c r="K691" i="2"/>
  <c r="L691" i="2" s="1"/>
  <c r="K692" i="2"/>
  <c r="L692" i="2" s="1"/>
  <c r="K173" i="2"/>
  <c r="L173" i="2" s="1"/>
  <c r="K693" i="2"/>
  <c r="L693" i="2" s="1"/>
  <c r="K694" i="2"/>
  <c r="L694" i="2" s="1"/>
  <c r="K695" i="2"/>
  <c r="L695" i="2" s="1"/>
  <c r="K696" i="2"/>
  <c r="L696" i="2" s="1"/>
  <c r="K697" i="2"/>
  <c r="L697" i="2" s="1"/>
  <c r="K698" i="2"/>
  <c r="L698" i="2" s="1"/>
  <c r="K699" i="2"/>
  <c r="L699" i="2" s="1"/>
  <c r="K700" i="2"/>
  <c r="L700" i="2" s="1"/>
  <c r="K701" i="2"/>
  <c r="L701" i="2" s="1"/>
  <c r="K702" i="2"/>
  <c r="L702" i="2" s="1"/>
  <c r="K703" i="2"/>
  <c r="L703" i="2" s="1"/>
  <c r="K174" i="2"/>
  <c r="L174" i="2" s="1"/>
  <c r="K704" i="2"/>
  <c r="L704" i="2" s="1"/>
  <c r="K705" i="2"/>
  <c r="L705" i="2" s="1"/>
  <c r="K706" i="2"/>
  <c r="L706" i="2" s="1"/>
  <c r="K707" i="2"/>
  <c r="L707" i="2" s="1"/>
  <c r="K708" i="2"/>
  <c r="L708" i="2" s="1"/>
  <c r="K709" i="2"/>
  <c r="L709" i="2" s="1"/>
  <c r="K710" i="2"/>
  <c r="L710" i="2" s="1"/>
  <c r="K711" i="2"/>
  <c r="L711" i="2" s="1"/>
  <c r="K712" i="2"/>
  <c r="L712" i="2" s="1"/>
  <c r="K713" i="2"/>
  <c r="L713" i="2" s="1"/>
  <c r="K714" i="2"/>
  <c r="L714" i="2" s="1"/>
  <c r="K715" i="2"/>
  <c r="L715" i="2" s="1"/>
  <c r="K716" i="2"/>
  <c r="L716" i="2" s="1"/>
  <c r="K717" i="2"/>
  <c r="L717" i="2" s="1"/>
  <c r="K718" i="2"/>
  <c r="L718" i="2" s="1"/>
  <c r="K719" i="2"/>
  <c r="L719" i="2" s="1"/>
  <c r="K720" i="2"/>
  <c r="L720" i="2" s="1"/>
  <c r="K721" i="2"/>
  <c r="L721" i="2" s="1"/>
  <c r="K722" i="2"/>
  <c r="L722" i="2" s="1"/>
  <c r="K175" i="2"/>
  <c r="L175" i="2" s="1"/>
  <c r="K723" i="2"/>
  <c r="L723" i="2" s="1"/>
  <c r="K724" i="2"/>
  <c r="L724" i="2" s="1"/>
  <c r="K725" i="2"/>
  <c r="L725" i="2" s="1"/>
  <c r="K726" i="2"/>
  <c r="L726" i="2" s="1"/>
  <c r="K727" i="2"/>
  <c r="L727" i="2" s="1"/>
  <c r="K728" i="2"/>
  <c r="L728" i="2" s="1"/>
  <c r="K729" i="2"/>
  <c r="L729" i="2" s="1"/>
  <c r="K730" i="2"/>
  <c r="L730" i="2" s="1"/>
  <c r="K731" i="2"/>
  <c r="L731" i="2" s="1"/>
  <c r="K732" i="2"/>
  <c r="L732" i="2" s="1"/>
  <c r="K733" i="2"/>
  <c r="L733" i="2" s="1"/>
  <c r="K734" i="2"/>
  <c r="L734" i="2" s="1"/>
  <c r="K735" i="2"/>
  <c r="L735" i="2" s="1"/>
  <c r="K736" i="2"/>
  <c r="L736" i="2" s="1"/>
  <c r="K737" i="2"/>
  <c r="L737" i="2" s="1"/>
  <c r="K738" i="2"/>
  <c r="L738" i="2" s="1"/>
  <c r="K739" i="2"/>
  <c r="L739" i="2" s="1"/>
  <c r="K740" i="2"/>
  <c r="L740" i="2" s="1"/>
  <c r="K741" i="2"/>
  <c r="L741" i="2" s="1"/>
  <c r="K742" i="2"/>
  <c r="L742" i="2" s="1"/>
  <c r="K743" i="2"/>
  <c r="L743" i="2" s="1"/>
  <c r="K744" i="2"/>
  <c r="L744" i="2" s="1"/>
  <c r="K745" i="2"/>
  <c r="L745" i="2" s="1"/>
  <c r="K746" i="2"/>
  <c r="L746" i="2" s="1"/>
  <c r="K747" i="2"/>
  <c r="L747" i="2" s="1"/>
  <c r="K748" i="2"/>
  <c r="L748" i="2" s="1"/>
  <c r="K749" i="2"/>
  <c r="L749" i="2" s="1"/>
  <c r="K750" i="2"/>
  <c r="L750" i="2" s="1"/>
  <c r="K751" i="2"/>
  <c r="L751" i="2" s="1"/>
  <c r="K752" i="2"/>
  <c r="L752" i="2" s="1"/>
  <c r="K753" i="2"/>
  <c r="L753" i="2" s="1"/>
  <c r="K754" i="2"/>
  <c r="L754" i="2" s="1"/>
  <c r="K755" i="2"/>
  <c r="L755" i="2" s="1"/>
  <c r="K756" i="2"/>
  <c r="L756" i="2" s="1"/>
  <c r="K176" i="2"/>
  <c r="L176" i="2" s="1"/>
  <c r="K94" i="2"/>
  <c r="L94" i="2" s="1"/>
  <c r="K95" i="2"/>
  <c r="L95" i="2" s="1"/>
  <c r="K177" i="2"/>
  <c r="L177" i="2" s="1"/>
  <c r="K178" i="2"/>
  <c r="L178" i="2" s="1"/>
  <c r="K179" i="2"/>
  <c r="L179" i="2" s="1"/>
  <c r="K180" i="2"/>
  <c r="L180" i="2" s="1"/>
  <c r="K181" i="2"/>
  <c r="L181" i="2" s="1"/>
  <c r="K96" i="2"/>
  <c r="L96" i="2" s="1"/>
  <c r="K182" i="2"/>
  <c r="L182" i="2" s="1"/>
  <c r="K183" i="2"/>
  <c r="L183" i="2" s="1"/>
  <c r="K184" i="2"/>
  <c r="L184" i="2" s="1"/>
  <c r="K185" i="2"/>
  <c r="L185" i="2" s="1"/>
  <c r="K186" i="2"/>
  <c r="L186" i="2" s="1"/>
  <c r="K187" i="2"/>
  <c r="L187" i="2" s="1"/>
  <c r="K188" i="2"/>
  <c r="L188" i="2" s="1"/>
  <c r="K189" i="2"/>
  <c r="L189" i="2" s="1"/>
  <c r="K190" i="2"/>
  <c r="L190" i="2" s="1"/>
  <c r="K97" i="2"/>
  <c r="L97" i="2" s="1"/>
  <c r="K757" i="2"/>
  <c r="L757" i="2" s="1"/>
  <c r="K191" i="2"/>
  <c r="L191" i="2" s="1"/>
  <c r="K192" i="2"/>
  <c r="L192" i="2" s="1"/>
  <c r="K758" i="2"/>
  <c r="L758" i="2" s="1"/>
  <c r="K98" i="2"/>
  <c r="L98" i="2" s="1"/>
  <c r="K193" i="2"/>
  <c r="L193" i="2" s="1"/>
  <c r="K194" i="2"/>
  <c r="L194" i="2" s="1"/>
  <c r="K195" i="2"/>
  <c r="L195" i="2" s="1"/>
  <c r="K196" i="2"/>
  <c r="L196" i="2" s="1"/>
  <c r="K43" i="2"/>
  <c r="L43" i="2" s="1"/>
  <c r="K55" i="2"/>
  <c r="L55" i="2" s="1"/>
  <c r="K99" i="2"/>
  <c r="L99" i="2" s="1"/>
  <c r="K100" i="2"/>
  <c r="L100" i="2" s="1"/>
  <c r="K197" i="2"/>
  <c r="L197" i="2" s="1"/>
  <c r="K759" i="2"/>
  <c r="L759" i="2" s="1"/>
  <c r="K198" i="2"/>
  <c r="L198" i="2" s="1"/>
  <c r="K199" i="2"/>
  <c r="L199" i="2" s="1"/>
  <c r="K56" i="2"/>
  <c r="L56" i="2" s="1"/>
  <c r="K200" i="2"/>
  <c r="L200" i="2" s="1"/>
  <c r="K201" i="2"/>
  <c r="L201" i="2" s="1"/>
  <c r="K57" i="2"/>
  <c r="L57" i="2" s="1"/>
  <c r="K202" i="2"/>
  <c r="L202" i="2" s="1"/>
  <c r="K203" i="2"/>
  <c r="L203" i="2" s="1"/>
  <c r="K204" i="2"/>
  <c r="L204" i="2" s="1"/>
  <c r="K205" i="2"/>
  <c r="L205" i="2" s="1"/>
  <c r="K206" i="2"/>
  <c r="L206" i="2" s="1"/>
  <c r="K207" i="2"/>
  <c r="L207" i="2" s="1"/>
  <c r="K208" i="2"/>
  <c r="L208" i="2" s="1"/>
  <c r="K209" i="2"/>
  <c r="L209" i="2" s="1"/>
  <c r="K210" i="2"/>
  <c r="L210" i="2" s="1"/>
  <c r="K211" i="2"/>
  <c r="L211" i="2" s="1"/>
  <c r="K212" i="2"/>
  <c r="L212" i="2" s="1"/>
  <c r="K44" i="2"/>
  <c r="L44" i="2" s="1"/>
  <c r="K213" i="2"/>
  <c r="L213" i="2" s="1"/>
  <c r="K214" i="2"/>
  <c r="L214" i="2" s="1"/>
  <c r="K215" i="2"/>
  <c r="L215" i="2" s="1"/>
  <c r="K760" i="2"/>
  <c r="L760" i="2" s="1"/>
  <c r="K761" i="2"/>
  <c r="L761" i="2" s="1"/>
  <c r="K762" i="2"/>
  <c r="L762" i="2" s="1"/>
  <c r="K763" i="2"/>
  <c r="L763" i="2" s="1"/>
  <c r="K216" i="2"/>
  <c r="L216" i="2" s="1"/>
  <c r="K764" i="2"/>
  <c r="L764" i="2" s="1"/>
  <c r="K765" i="2"/>
  <c r="L765" i="2" s="1"/>
  <c r="K217" i="2"/>
  <c r="L217" i="2" s="1"/>
  <c r="K218" i="2"/>
  <c r="L218" i="2" s="1"/>
  <c r="K219" i="2"/>
  <c r="L219" i="2" s="1"/>
  <c r="K220" i="2"/>
  <c r="L220" i="2" s="1"/>
  <c r="K221" i="2"/>
  <c r="L221" i="2" s="1"/>
  <c r="K222" i="2"/>
  <c r="L222" i="2" s="1"/>
  <c r="K58" i="2"/>
  <c r="L58" i="2" s="1"/>
  <c r="K223" i="2"/>
  <c r="L223" i="2" s="1"/>
  <c r="K224" i="2"/>
  <c r="L224" i="2" s="1"/>
  <c r="K225" i="2"/>
  <c r="L225" i="2" s="1"/>
  <c r="K59" i="2"/>
  <c r="L59" i="2" s="1"/>
  <c r="K766" i="2"/>
  <c r="L766" i="2" s="1"/>
  <c r="K226" i="2"/>
  <c r="L226" i="2" s="1"/>
  <c r="K227" i="2"/>
  <c r="L227" i="2" s="1"/>
  <c r="K8" i="2"/>
  <c r="L8" i="2" s="1"/>
  <c r="K12" i="2"/>
  <c r="L12" i="2" s="1"/>
  <c r="K228" i="2"/>
  <c r="L228" i="2" s="1"/>
  <c r="K13" i="2"/>
  <c r="L13" i="2" s="1"/>
  <c r="K229" i="2"/>
  <c r="L229" i="2" s="1"/>
  <c r="K230" i="2"/>
  <c r="L230" i="2" s="1"/>
  <c r="K231" i="2"/>
  <c r="L231" i="2" s="1"/>
  <c r="K767" i="2"/>
  <c r="L767" i="2" s="1"/>
  <c r="K232" i="2"/>
  <c r="L232" i="2" s="1"/>
  <c r="K768" i="2"/>
  <c r="L768" i="2" s="1"/>
  <c r="K233" i="2"/>
  <c r="L233" i="2" s="1"/>
  <c r="K769" i="2"/>
  <c r="L769" i="2" s="1"/>
  <c r="K770" i="2"/>
  <c r="L770" i="2" s="1"/>
  <c r="K771" i="2"/>
  <c r="L771" i="2" s="1"/>
  <c r="K234" i="2"/>
  <c r="L234" i="2" s="1"/>
  <c r="K772" i="2"/>
  <c r="L772" i="2" s="1"/>
  <c r="K235" i="2"/>
  <c r="L235" i="2" s="1"/>
  <c r="K236" i="2"/>
  <c r="L236" i="2" s="1"/>
  <c r="K237" i="2"/>
  <c r="L237" i="2" s="1"/>
  <c r="K238" i="2"/>
  <c r="L238" i="2" s="1"/>
  <c r="K773" i="2"/>
  <c r="L773" i="2" s="1"/>
  <c r="K774" i="2"/>
  <c r="L774" i="2" s="1"/>
  <c r="K775" i="2"/>
  <c r="L775" i="2" s="1"/>
  <c r="K239" i="2"/>
  <c r="L239" i="2" s="1"/>
  <c r="K240" i="2"/>
  <c r="L240" i="2" s="1"/>
  <c r="K241" i="2"/>
  <c r="L241" i="2" s="1"/>
  <c r="K242" i="2"/>
  <c r="L242" i="2" s="1"/>
  <c r="K776" i="2"/>
  <c r="L776" i="2" s="1"/>
  <c r="K777" i="2"/>
  <c r="L777" i="2" s="1"/>
  <c r="K243" i="2"/>
  <c r="L243" i="2" s="1"/>
  <c r="K778" i="2"/>
  <c r="L778" i="2" s="1"/>
  <c r="K244" i="2"/>
  <c r="L244" i="2" s="1"/>
  <c r="K779" i="2"/>
  <c r="L779" i="2" s="1"/>
  <c r="K101" i="2"/>
  <c r="L101" i="2" s="1"/>
  <c r="K60" i="2"/>
  <c r="L60" i="2" s="1"/>
  <c r="K780" i="2"/>
  <c r="L780" i="2" s="1"/>
  <c r="K781" i="2"/>
  <c r="L781" i="2" s="1"/>
  <c r="K245" i="2"/>
  <c r="L245" i="2" s="1"/>
  <c r="K782" i="2"/>
  <c r="L782" i="2" s="1"/>
  <c r="K246" i="2"/>
  <c r="L246" i="2" s="1"/>
  <c r="K783" i="2"/>
  <c r="L783" i="2" s="1"/>
  <c r="K247" i="2"/>
  <c r="L247" i="2" s="1"/>
  <c r="K248" i="2"/>
  <c r="L248" i="2" s="1"/>
  <c r="K784" i="2"/>
  <c r="L784" i="2" s="1"/>
  <c r="K785" i="2"/>
  <c r="L785" i="2" s="1"/>
  <c r="K786" i="2"/>
  <c r="L786" i="2" s="1"/>
  <c r="K787" i="2"/>
  <c r="L787" i="2" s="1"/>
  <c r="K249" i="2"/>
  <c r="L249" i="2" s="1"/>
  <c r="K250" i="2"/>
  <c r="L250" i="2" s="1"/>
  <c r="K251" i="2"/>
  <c r="L251" i="2" s="1"/>
  <c r="K788" i="2"/>
  <c r="L788" i="2" s="1"/>
  <c r="K252" i="2"/>
  <c r="L252" i="2" s="1"/>
  <c r="K253" i="2"/>
  <c r="L253" i="2" s="1"/>
  <c r="K254" i="2"/>
  <c r="L254" i="2" s="1"/>
  <c r="K789" i="2"/>
  <c r="L789" i="2" s="1"/>
  <c r="K790" i="2"/>
  <c r="L790" i="2" s="1"/>
  <c r="K791" i="2"/>
  <c r="L791" i="2" s="1"/>
  <c r="K792" i="2"/>
  <c r="L792" i="2" s="1"/>
  <c r="K255" i="2"/>
  <c r="L255" i="2" s="1"/>
  <c r="K256" i="2"/>
  <c r="L256" i="2" s="1"/>
  <c r="K793" i="2"/>
  <c r="L793" i="2" s="1"/>
  <c r="K257" i="2"/>
  <c r="L257" i="2" s="1"/>
  <c r="K258" i="2"/>
  <c r="L258" i="2" s="1"/>
  <c r="K102" i="2"/>
  <c r="L102" i="2" s="1"/>
  <c r="K259" i="2"/>
  <c r="L259" i="2" s="1"/>
  <c r="K260" i="2"/>
  <c r="L260" i="2" s="1"/>
  <c r="K794" i="2"/>
  <c r="L794" i="2" s="1"/>
  <c r="K261" i="2"/>
  <c r="L261" i="2" s="1"/>
  <c r="K262" i="2"/>
  <c r="L262" i="2" s="1"/>
  <c r="K795" i="2"/>
  <c r="L795" i="2" s="1"/>
  <c r="K796" i="2"/>
  <c r="L796" i="2" s="1"/>
  <c r="K797" i="2"/>
  <c r="L797" i="2" s="1"/>
  <c r="K798" i="2"/>
  <c r="L798" i="2" s="1"/>
  <c r="K799" i="2"/>
  <c r="L799" i="2" s="1"/>
  <c r="K263" i="2"/>
  <c r="L263" i="2" s="1"/>
  <c r="K800" i="2"/>
  <c r="L800" i="2" s="1"/>
  <c r="K801" i="2"/>
  <c r="L801" i="2" s="1"/>
  <c r="K802" i="2"/>
  <c r="L802" i="2" s="1"/>
  <c r="K803" i="2"/>
  <c r="L803" i="2" s="1"/>
  <c r="K264" i="2"/>
  <c r="L264" i="2" s="1"/>
  <c r="K265" i="2"/>
  <c r="L265" i="2" s="1"/>
  <c r="K804" i="2"/>
  <c r="L804" i="2" s="1"/>
  <c r="K805" i="2"/>
  <c r="L805" i="2" s="1"/>
  <c r="K806" i="2"/>
  <c r="L806" i="2" s="1"/>
  <c r="K807" i="2"/>
  <c r="L807" i="2" s="1"/>
  <c r="K808" i="2"/>
  <c r="L808" i="2" s="1"/>
  <c r="K809" i="2"/>
  <c r="L809" i="2" s="1"/>
  <c r="K810" i="2"/>
  <c r="L810" i="2" s="1"/>
  <c r="K811" i="2"/>
  <c r="L811" i="2" s="1"/>
  <c r="K812" i="2"/>
  <c r="L812" i="2" s="1"/>
  <c r="K813" i="2"/>
  <c r="L813" i="2" s="1"/>
  <c r="K814" i="2"/>
  <c r="L814" i="2" s="1"/>
  <c r="K266" i="2"/>
  <c r="L266" i="2" s="1"/>
  <c r="K267" i="2"/>
  <c r="L267" i="2" s="1"/>
  <c r="K268" i="2"/>
  <c r="L268" i="2" s="1"/>
  <c r="K14" i="2"/>
  <c r="L14" i="2" s="1"/>
  <c r="K815" i="2"/>
  <c r="L815" i="2" s="1"/>
  <c r="K269" i="2"/>
  <c r="L269" i="2" s="1"/>
  <c r="K816" i="2"/>
  <c r="L816" i="2" s="1"/>
  <c r="K817" i="2"/>
  <c r="L817" i="2" s="1"/>
  <c r="K270" i="2"/>
  <c r="L270" i="2" s="1"/>
  <c r="K271" i="2"/>
  <c r="L271" i="2" s="1"/>
  <c r="K272" i="2"/>
  <c r="L272" i="2" s="1"/>
  <c r="K818" i="2"/>
  <c r="L818" i="2" s="1"/>
  <c r="K819" i="2"/>
  <c r="L819" i="2" s="1"/>
  <c r="K273" i="2"/>
  <c r="L273" i="2" s="1"/>
  <c r="K820" i="2"/>
  <c r="L820" i="2" s="1"/>
  <c r="K821" i="2"/>
  <c r="L821" i="2" s="1"/>
  <c r="K822" i="2"/>
  <c r="L822" i="2" s="1"/>
  <c r="K823" i="2"/>
  <c r="L823" i="2" s="1"/>
  <c r="K824" i="2"/>
  <c r="L824" i="2" s="1"/>
  <c r="K274" i="2"/>
  <c r="L274" i="2" s="1"/>
  <c r="K825" i="2"/>
  <c r="L825" i="2" s="1"/>
  <c r="K826" i="2"/>
  <c r="L826" i="2" s="1"/>
  <c r="K827" i="2"/>
  <c r="L827" i="2" s="1"/>
  <c r="K828" i="2"/>
  <c r="L828" i="2" s="1"/>
  <c r="K829" i="2"/>
  <c r="L829" i="2" s="1"/>
  <c r="K830" i="2"/>
  <c r="L830" i="2" s="1"/>
  <c r="K831" i="2"/>
  <c r="L831" i="2" s="1"/>
  <c r="K275" i="2"/>
  <c r="L275" i="2" s="1"/>
  <c r="K61" i="2"/>
  <c r="L61" i="2" s="1"/>
  <c r="K276" i="2"/>
  <c r="L276" i="2" s="1"/>
  <c r="K832" i="2"/>
  <c r="L832" i="2" s="1"/>
  <c r="K833" i="2"/>
  <c r="L833" i="2" s="1"/>
  <c r="K834" i="2"/>
  <c r="L834" i="2" s="1"/>
  <c r="K835" i="2"/>
  <c r="L835" i="2" s="1"/>
  <c r="K836" i="2"/>
  <c r="L836" i="2" s="1"/>
  <c r="K837" i="2"/>
  <c r="L837" i="2" s="1"/>
  <c r="K838" i="2"/>
  <c r="L838" i="2" s="1"/>
  <c r="K839" i="2"/>
  <c r="L839" i="2" s="1"/>
  <c r="K840" i="2"/>
  <c r="L840" i="2" s="1"/>
  <c r="K841" i="2"/>
  <c r="L841" i="2" s="1"/>
  <c r="K842" i="2"/>
  <c r="L842" i="2" s="1"/>
  <c r="K277" i="2"/>
  <c r="L277" i="2" s="1"/>
  <c r="K278" i="2"/>
  <c r="L278" i="2" s="1"/>
  <c r="K843" i="2"/>
  <c r="L843" i="2" s="1"/>
  <c r="K844" i="2"/>
  <c r="L844" i="2" s="1"/>
  <c r="K845" i="2"/>
  <c r="L845" i="2" s="1"/>
  <c r="K846" i="2"/>
  <c r="L846" i="2" s="1"/>
  <c r="K847" i="2"/>
  <c r="L847" i="2" s="1"/>
  <c r="K848" i="2"/>
  <c r="L848" i="2" s="1"/>
  <c r="K849" i="2"/>
  <c r="L849" i="2" s="1"/>
  <c r="K279" i="2"/>
  <c r="L279" i="2" s="1"/>
  <c r="K850" i="2"/>
  <c r="L850" i="2" s="1"/>
  <c r="K851" i="2"/>
  <c r="L851" i="2" s="1"/>
  <c r="K280" i="2"/>
  <c r="L280" i="2" s="1"/>
  <c r="K852" i="2"/>
  <c r="L852" i="2" s="1"/>
  <c r="K281" i="2"/>
  <c r="L281" i="2" s="1"/>
  <c r="K282" i="2"/>
  <c r="L282" i="2" s="1"/>
  <c r="K853" i="2"/>
  <c r="L853" i="2" s="1"/>
  <c r="K854" i="2"/>
  <c r="L854" i="2" s="1"/>
  <c r="K855" i="2"/>
  <c r="L855" i="2" s="1"/>
  <c r="K856" i="2"/>
  <c r="L856" i="2" s="1"/>
  <c r="K857" i="2"/>
  <c r="L857" i="2" s="1"/>
  <c r="K283" i="2"/>
  <c r="L283" i="2" s="1"/>
  <c r="K858" i="2"/>
  <c r="L858" i="2" s="1"/>
  <c r="K284" i="2"/>
  <c r="L284" i="2" s="1"/>
  <c r="K285" i="2"/>
  <c r="L285" i="2" s="1"/>
  <c r="K859" i="2"/>
  <c r="L859" i="2" s="1"/>
  <c r="K860" i="2"/>
  <c r="L860" i="2" s="1"/>
  <c r="K286" i="2"/>
  <c r="L286" i="2" s="1"/>
  <c r="K287" i="2"/>
  <c r="L287" i="2" s="1"/>
  <c r="K861" i="2"/>
  <c r="L861" i="2" s="1"/>
  <c r="K862" i="2"/>
  <c r="L862" i="2" s="1"/>
  <c r="K45" i="2"/>
  <c r="L45" i="2" s="1"/>
  <c r="K288" i="2"/>
  <c r="L288" i="2" s="1"/>
  <c r="K289" i="2"/>
  <c r="L289" i="2" s="1"/>
  <c r="K290" i="2"/>
  <c r="L290" i="2" s="1"/>
  <c r="K863" i="2"/>
  <c r="L863" i="2" s="1"/>
  <c r="K864" i="2"/>
  <c r="L864" i="2" s="1"/>
  <c r="K291" i="2"/>
  <c r="L291" i="2" s="1"/>
  <c r="K865" i="2"/>
  <c r="L865" i="2" s="1"/>
  <c r="K292" i="2"/>
  <c r="L292" i="2" s="1"/>
  <c r="K866" i="2"/>
  <c r="L866" i="2" s="1"/>
  <c r="K867" i="2"/>
  <c r="L867" i="2" s="1"/>
  <c r="K868" i="2"/>
  <c r="L868" i="2" s="1"/>
  <c r="K293" i="2"/>
  <c r="L293" i="2" s="1"/>
  <c r="K294" i="2"/>
  <c r="L294" i="2" s="1"/>
  <c r="K869" i="2"/>
  <c r="L869" i="2" s="1"/>
  <c r="K870" i="2"/>
  <c r="L870" i="2" s="1"/>
  <c r="K295" i="2"/>
  <c r="L295" i="2" s="1"/>
  <c r="K871" i="2"/>
  <c r="L871" i="2" s="1"/>
  <c r="K872" i="2"/>
  <c r="L872" i="2" s="1"/>
  <c r="K103" i="2"/>
  <c r="L103" i="2" s="1"/>
  <c r="K62" i="2"/>
  <c r="L62" i="2" s="1"/>
  <c r="K873" i="2"/>
  <c r="L873" i="2" s="1"/>
  <c r="K5" i="2"/>
  <c r="L5" i="2" s="1"/>
  <c r="K15" i="2"/>
  <c r="L15" i="2" s="1"/>
  <c r="K296" i="2"/>
  <c r="L296" i="2" s="1"/>
  <c r="K874" i="2"/>
  <c r="L874" i="2" s="1"/>
  <c r="K297" i="2"/>
  <c r="L297" i="2" s="1"/>
  <c r="K875" i="2"/>
  <c r="L875" i="2" s="1"/>
  <c r="K104" i="2"/>
  <c r="L104" i="2" s="1"/>
  <c r="K298" i="2"/>
  <c r="L298" i="2" s="1"/>
  <c r="K299" i="2"/>
  <c r="L299" i="2" s="1"/>
  <c r="K300" i="2"/>
  <c r="L300" i="2" s="1"/>
  <c r="K301" i="2"/>
  <c r="L301" i="2" s="1"/>
  <c r="K302" i="2"/>
  <c r="L302" i="2" s="1"/>
  <c r="K63" i="2"/>
  <c r="L63" i="2" s="1"/>
  <c r="K105" i="2"/>
  <c r="L105" i="2" s="1"/>
  <c r="K876" i="2"/>
  <c r="L876" i="2" s="1"/>
  <c r="K106" i="2"/>
  <c r="L106" i="2" s="1"/>
  <c r="K303" i="2"/>
  <c r="L303" i="2" s="1"/>
  <c r="K877" i="2"/>
  <c r="L877" i="2" s="1"/>
  <c r="K64" i="2"/>
  <c r="L64" i="2" s="1"/>
  <c r="K304" i="2"/>
  <c r="L304" i="2" s="1"/>
  <c r="K305" i="2"/>
  <c r="L305" i="2" s="1"/>
  <c r="K878" i="2"/>
  <c r="L878" i="2" s="1"/>
  <c r="K65" i="2"/>
  <c r="L65" i="2" s="1"/>
  <c r="K306" i="2"/>
  <c r="L306" i="2" s="1"/>
  <c r="K307" i="2"/>
  <c r="L307" i="2" s="1"/>
  <c r="K879" i="2"/>
  <c r="L879" i="2" s="1"/>
  <c r="K880" i="2"/>
  <c r="L880" i="2" s="1"/>
  <c r="K308" i="2"/>
  <c r="L308" i="2" s="1"/>
  <c r="K309" i="2"/>
  <c r="L309" i="2" s="1"/>
  <c r="K107" i="2"/>
  <c r="L107" i="2" s="1"/>
  <c r="K881" i="2"/>
  <c r="L881" i="2" s="1"/>
  <c r="K310" i="2"/>
  <c r="L310" i="2" s="1"/>
  <c r="K311" i="2"/>
  <c r="L311" i="2" s="1"/>
  <c r="K882" i="2"/>
  <c r="L882" i="2" s="1"/>
  <c r="K108" i="2"/>
  <c r="L108" i="2" s="1"/>
  <c r="K312" i="2"/>
  <c r="L312" i="2" s="1"/>
  <c r="K883" i="2"/>
  <c r="L883" i="2" s="1"/>
  <c r="K313" i="2"/>
  <c r="L313" i="2" s="1"/>
  <c r="K884" i="2"/>
  <c r="L884" i="2" s="1"/>
  <c r="K314" i="2"/>
  <c r="L314" i="2" s="1"/>
  <c r="K885" i="2"/>
  <c r="L885" i="2" s="1"/>
  <c r="K886" i="2"/>
  <c r="L886" i="2" s="1"/>
  <c r="K887" i="2"/>
  <c r="L887" i="2" s="1"/>
  <c r="K109" i="2"/>
  <c r="L109" i="2" s="1"/>
  <c r="K888" i="2"/>
  <c r="L888" i="2" s="1"/>
  <c r="K889" i="2"/>
  <c r="L889" i="2" s="1"/>
  <c r="K46" i="2"/>
  <c r="L46" i="2" s="1"/>
  <c r="K315" i="2"/>
  <c r="L315" i="2" s="1"/>
  <c r="K110" i="2"/>
  <c r="L110" i="2" s="1"/>
  <c r="K316" i="2"/>
  <c r="L316" i="2" s="1"/>
  <c r="K317" i="2"/>
  <c r="L317" i="2" s="1"/>
  <c r="K318" i="2"/>
  <c r="L318" i="2" s="1"/>
  <c r="K319" i="2"/>
  <c r="L319" i="2" s="1"/>
  <c r="K890" i="2"/>
  <c r="L890" i="2" s="1"/>
  <c r="K9" i="2"/>
  <c r="L9" i="2" s="1"/>
  <c r="K320" i="2"/>
  <c r="L320" i="2" s="1"/>
  <c r="K66" i="2"/>
  <c r="L66" i="2" s="1"/>
  <c r="K891" i="2"/>
  <c r="L891" i="2" s="1"/>
  <c r="K47" i="2"/>
  <c r="L47" i="2" s="1"/>
  <c r="K111" i="2"/>
  <c r="L111" i="2" s="1"/>
  <c r="K892" i="2"/>
  <c r="L892" i="2" s="1"/>
  <c r="K321" i="2"/>
  <c r="L321" i="2" s="1"/>
  <c r="K893" i="2"/>
  <c r="L893" i="2" s="1"/>
  <c r="K322" i="2"/>
  <c r="L322" i="2" s="1"/>
  <c r="K894" i="2"/>
  <c r="L894" i="2" s="1"/>
  <c r="K323" i="2"/>
  <c r="L323" i="2" s="1"/>
  <c r="K895" i="2"/>
  <c r="L895" i="2" s="1"/>
  <c r="K324" i="2"/>
  <c r="L324" i="2" s="1"/>
  <c r="K112" i="2"/>
  <c r="L112" i="2" s="1"/>
  <c r="K67" i="2"/>
  <c r="L67" i="2" s="1"/>
  <c r="K896" i="2"/>
  <c r="L896" i="2" s="1"/>
  <c r="K68" i="2"/>
  <c r="L68" i="2" s="1"/>
  <c r="K113" i="2"/>
  <c r="L113" i="2" s="1"/>
  <c r="K325" i="2"/>
  <c r="L325" i="2" s="1"/>
  <c r="K326" i="2"/>
  <c r="L326" i="2" s="1"/>
  <c r="K897" i="2"/>
  <c r="L897" i="2" s="1"/>
  <c r="K327" i="2"/>
  <c r="L327" i="2" s="1"/>
  <c r="K328" i="2"/>
  <c r="L328" i="2" s="1"/>
  <c r="K329" i="2"/>
  <c r="L329" i="2" s="1"/>
  <c r="K114" i="2"/>
  <c r="L114" i="2" s="1"/>
  <c r="K115" i="2"/>
  <c r="L115" i="2" s="1"/>
  <c r="K116" i="2"/>
  <c r="L116" i="2" s="1"/>
  <c r="K898" i="2"/>
  <c r="L898" i="2" s="1"/>
  <c r="K330" i="2"/>
  <c r="L330" i="2" s="1"/>
  <c r="K69" i="2"/>
  <c r="L69" i="2" s="1"/>
  <c r="K899" i="2"/>
  <c r="L899" i="2" s="1"/>
  <c r="K900" i="2"/>
  <c r="L900" i="2" s="1"/>
  <c r="K70" i="2"/>
  <c r="L70" i="2" s="1"/>
  <c r="K901" i="2"/>
  <c r="L901" i="2" s="1"/>
  <c r="K117" i="2"/>
  <c r="L117" i="2" s="1"/>
  <c r="K331" i="2"/>
  <c r="L331" i="2" s="1"/>
  <c r="K118" i="2"/>
  <c r="L118" i="2" s="1"/>
  <c r="K332" i="2"/>
  <c r="L332" i="2" s="1"/>
  <c r="K902" i="2"/>
  <c r="L902" i="2" s="1"/>
  <c r="K903" i="2"/>
  <c r="L903" i="2" s="1"/>
  <c r="K904" i="2"/>
  <c r="L904" i="2" s="1"/>
  <c r="K905" i="2"/>
  <c r="L905" i="2" s="1"/>
  <c r="K119" i="2"/>
  <c r="L119" i="2" s="1"/>
  <c r="K906" i="2"/>
  <c r="L906" i="2" s="1"/>
  <c r="K907" i="2"/>
  <c r="L907" i="2" s="1"/>
  <c r="K908" i="2"/>
  <c r="L908" i="2" s="1"/>
  <c r="K909" i="2"/>
  <c r="L909" i="2" s="1"/>
  <c r="K910" i="2"/>
  <c r="L910" i="2" s="1"/>
  <c r="K911" i="2"/>
  <c r="L911" i="2" s="1"/>
  <c r="K912" i="2"/>
  <c r="L912" i="2" s="1"/>
  <c r="K333" i="2"/>
  <c r="L333" i="2" s="1"/>
  <c r="K913" i="2"/>
  <c r="L913" i="2" s="1"/>
  <c r="K71" i="2"/>
  <c r="L71" i="2" s="1"/>
  <c r="K334" i="2"/>
  <c r="L334" i="2" s="1"/>
  <c r="K914" i="2"/>
  <c r="L914" i="2" s="1"/>
  <c r="K915" i="2"/>
  <c r="L915" i="2" s="1"/>
  <c r="K916" i="2"/>
  <c r="L916" i="2" s="1"/>
  <c r="K335" i="2"/>
  <c r="L335" i="2" s="1"/>
  <c r="K336" i="2"/>
  <c r="L336" i="2" s="1"/>
  <c r="K917" i="2"/>
  <c r="L917" i="2" s="1"/>
  <c r="K918" i="2"/>
  <c r="L918" i="2" s="1"/>
  <c r="K10" i="2"/>
  <c r="L10" i="2" s="1"/>
  <c r="K120" i="2"/>
  <c r="L120" i="2" s="1"/>
  <c r="K121" i="2"/>
  <c r="L121" i="2" s="1"/>
  <c r="K337" i="2"/>
  <c r="L337" i="2" s="1"/>
  <c r="K338" i="2"/>
  <c r="L338" i="2" s="1"/>
  <c r="K16" i="2"/>
  <c r="L16" i="2" s="1"/>
  <c r="K122" i="2"/>
  <c r="L122" i="2" s="1"/>
  <c r="K919" i="2"/>
  <c r="L919" i="2" s="1"/>
  <c r="K920" i="2"/>
  <c r="L920" i="2" s="1"/>
  <c r="K921" i="2"/>
  <c r="L921" i="2" s="1"/>
  <c r="K922" i="2"/>
  <c r="L922" i="2" s="1"/>
  <c r="K17" i="2"/>
  <c r="L17" i="2" s="1"/>
  <c r="K339" i="2"/>
  <c r="L339" i="2" s="1"/>
  <c r="K340" i="2"/>
  <c r="L340" i="2" s="1"/>
  <c r="K72" i="2"/>
  <c r="L72" i="2" s="1"/>
  <c r="K341" i="2"/>
  <c r="L341" i="2" s="1"/>
  <c r="K73" i="2"/>
  <c r="L73" i="2" s="1"/>
  <c r="K18" i="2"/>
  <c r="L18" i="2" s="1"/>
  <c r="K19" i="2"/>
  <c r="L19" i="2" s="1"/>
  <c r="K20" i="2"/>
  <c r="L20" i="2" s="1"/>
  <c r="K342" i="2"/>
  <c r="L342" i="2" s="1"/>
  <c r="K923" i="2"/>
  <c r="L923" i="2" s="1"/>
  <c r="K924" i="2"/>
  <c r="L924" i="2" s="1"/>
  <c r="K925" i="2"/>
  <c r="L925" i="2" s="1"/>
  <c r="K926" i="2"/>
  <c r="L926" i="2" s="1"/>
  <c r="K927" i="2"/>
  <c r="L927" i="2" s="1"/>
  <c r="K21" i="2"/>
  <c r="L21" i="2" s="1"/>
  <c r="K928" i="2"/>
  <c r="L928" i="2" s="1"/>
  <c r="K929" i="2"/>
  <c r="L929" i="2" s="1"/>
  <c r="K930" i="2"/>
  <c r="L930" i="2" s="1"/>
  <c r="K931" i="2"/>
  <c r="L931" i="2" s="1"/>
  <c r="K932" i="2"/>
  <c r="L932" i="2" s="1"/>
  <c r="K933" i="2"/>
  <c r="L933" i="2" s="1"/>
  <c r="K343" i="2"/>
  <c r="L343" i="2" s="1"/>
  <c r="K48" i="2"/>
  <c r="L48" i="2" s="1"/>
  <c r="K344" i="2"/>
  <c r="L344" i="2" s="1"/>
  <c r="K345" i="2"/>
  <c r="L345" i="2" s="1"/>
  <c r="K22" i="2"/>
  <c r="L22" i="2" s="1"/>
  <c r="K934" i="2"/>
  <c r="L934" i="2" s="1"/>
  <c r="K935" i="2"/>
  <c r="L935" i="2" s="1"/>
  <c r="K346" i="2"/>
  <c r="L346" i="2" s="1"/>
  <c r="K347" i="2"/>
  <c r="L347" i="2" s="1"/>
  <c r="K936" i="2"/>
  <c r="L936" i="2" s="1"/>
  <c r="K348" i="2"/>
  <c r="L348" i="2" s="1"/>
  <c r="K349" i="2"/>
  <c r="L349" i="2" s="1"/>
  <c r="K74" i="2"/>
  <c r="L74" i="2" s="1"/>
  <c r="K350" i="2"/>
  <c r="L350" i="2" s="1"/>
  <c r="K351" i="2"/>
  <c r="L351" i="2" s="1"/>
  <c r="K937" i="2"/>
  <c r="L937" i="2" s="1"/>
  <c r="K938" i="2"/>
  <c r="L938" i="2" s="1"/>
  <c r="K352" i="2"/>
  <c r="L352" i="2" s="1"/>
  <c r="K6" i="2"/>
  <c r="L6" i="2" s="1"/>
  <c r="K939" i="2"/>
  <c r="L939" i="2" s="1"/>
  <c r="K353" i="2"/>
  <c r="L353" i="2" s="1"/>
  <c r="K940" i="2"/>
  <c r="L940" i="2" s="1"/>
  <c r="K354" i="2"/>
  <c r="L354" i="2" s="1"/>
  <c r="K941" i="2"/>
  <c r="L941" i="2" s="1"/>
  <c r="K355" i="2"/>
  <c r="L355" i="2" s="1"/>
  <c r="K942" i="2"/>
  <c r="L942" i="2" s="1"/>
  <c r="K23" i="2"/>
  <c r="L23" i="2" s="1"/>
  <c r="K356" i="2"/>
  <c r="L356" i="2" s="1"/>
  <c r="K75" i="2"/>
  <c r="L75" i="2" s="1"/>
  <c r="K123" i="2"/>
  <c r="L123" i="2" s="1"/>
  <c r="K943" i="2"/>
  <c r="L943" i="2" s="1"/>
  <c r="K357" i="2"/>
  <c r="L357" i="2" s="1"/>
  <c r="K24" i="2"/>
  <c r="L24" i="2" s="1"/>
  <c r="K358" i="2"/>
  <c r="L358" i="2" s="1"/>
  <c r="K944" i="2"/>
  <c r="L944" i="2" s="1"/>
  <c r="K945" i="2"/>
  <c r="L945" i="2" s="1"/>
  <c r="K76" i="2"/>
  <c r="L76" i="2" s="1"/>
  <c r="K946" i="2"/>
  <c r="L946" i="2" s="1"/>
  <c r="K359" i="2"/>
  <c r="L359" i="2" s="1"/>
  <c r="K25" i="2"/>
  <c r="L25" i="2" s="1"/>
  <c r="K360" i="2"/>
  <c r="L360" i="2" s="1"/>
  <c r="K361" i="2"/>
  <c r="L361" i="2" s="1"/>
  <c r="K947" i="2"/>
  <c r="L947" i="2" s="1"/>
  <c r="K948" i="2"/>
  <c r="L948" i="2" s="1"/>
  <c r="K26" i="2"/>
  <c r="L26" i="2" s="1"/>
  <c r="K362" i="2"/>
  <c r="L362" i="2" s="1"/>
  <c r="K124" i="2"/>
  <c r="L124" i="2" s="1"/>
  <c r="K363" i="2"/>
  <c r="L363" i="2" s="1"/>
  <c r="K364" i="2"/>
  <c r="L364" i="2" s="1"/>
  <c r="K949" i="2"/>
  <c r="L949" i="2" s="1"/>
  <c r="K365" i="2"/>
  <c r="L365" i="2" s="1"/>
  <c r="K950" i="2"/>
  <c r="L950" i="2" s="1"/>
  <c r="K951" i="2"/>
  <c r="L951" i="2" s="1"/>
  <c r="K952" i="2"/>
  <c r="L952" i="2" s="1"/>
  <c r="K366" i="2"/>
  <c r="L366" i="2" s="1"/>
  <c r="K953" i="2"/>
  <c r="L953" i="2" s="1"/>
  <c r="K367" i="2"/>
  <c r="L367" i="2" s="1"/>
  <c r="K368" i="2"/>
  <c r="L368" i="2" s="1"/>
  <c r="K27" i="2"/>
  <c r="L27" i="2" s="1"/>
  <c r="K77" i="2"/>
  <c r="L77" i="2" s="1"/>
  <c r="K78" i="2"/>
  <c r="L78" i="2" s="1"/>
  <c r="K954" i="2"/>
  <c r="L954" i="2" s="1"/>
  <c r="K955" i="2"/>
  <c r="L955" i="2" s="1"/>
  <c r="K956" i="2"/>
  <c r="L956" i="2" s="1"/>
  <c r="K49" i="2"/>
  <c r="L49" i="2" s="1"/>
  <c r="K369" i="2"/>
  <c r="L369" i="2" s="1"/>
  <c r="K957" i="2"/>
  <c r="L957" i="2" s="1"/>
  <c r="K370" i="2"/>
  <c r="L370" i="2" s="1"/>
  <c r="K958" i="2"/>
  <c r="L958" i="2" s="1"/>
  <c r="K28" i="2"/>
  <c r="L28" i="2" s="1"/>
  <c r="K125" i="2"/>
  <c r="L125" i="2" s="1"/>
  <c r="K371" i="2"/>
  <c r="L371" i="2" s="1"/>
  <c r="K29" i="2"/>
  <c r="L29" i="2" s="1"/>
  <c r="K30" i="2"/>
  <c r="L30" i="2" s="1"/>
  <c r="K959" i="2"/>
  <c r="L959" i="2" s="1"/>
  <c r="K960" i="2"/>
  <c r="L960" i="2" s="1"/>
  <c r="K372" i="2"/>
  <c r="L372" i="2" s="1"/>
  <c r="K31" i="2"/>
  <c r="L31" i="2" s="1"/>
  <c r="K373" i="2"/>
  <c r="L373" i="2" s="1"/>
  <c r="K374" i="2"/>
  <c r="L374" i="2" s="1"/>
  <c r="K375" i="2"/>
  <c r="L375" i="2" s="1"/>
  <c r="K79" i="2"/>
  <c r="L79" i="2" s="1"/>
  <c r="K961" i="2"/>
  <c r="L961" i="2" s="1"/>
  <c r="K80" i="2"/>
  <c r="L80" i="2" s="1"/>
  <c r="K81" i="2"/>
  <c r="L81" i="2" s="1"/>
  <c r="K50" i="2"/>
  <c r="L50" i="2" s="1"/>
  <c r="K376" i="2"/>
  <c r="L376" i="2" s="1"/>
  <c r="K962" i="2"/>
  <c r="L962" i="2" s="1"/>
  <c r="K377" i="2"/>
  <c r="L377" i="2" s="1"/>
  <c r="K32" i="2"/>
  <c r="L32" i="2" s="1"/>
  <c r="K963" i="2"/>
  <c r="L963" i="2" s="1"/>
  <c r="K82" i="2"/>
  <c r="L82" i="2" s="1"/>
  <c r="K378" i="2"/>
  <c r="L378" i="2" s="1"/>
  <c r="K379" i="2"/>
  <c r="L379" i="2" s="1"/>
  <c r="K380" i="2"/>
  <c r="L380" i="2" s="1"/>
  <c r="K33" i="2"/>
  <c r="L33" i="2" s="1"/>
  <c r="K381" i="2"/>
  <c r="L381" i="2" s="1"/>
  <c r="K126" i="2"/>
  <c r="L126" i="2" s="1"/>
  <c r="K382" i="2"/>
  <c r="L382" i="2" s="1"/>
  <c r="K383" i="2"/>
  <c r="L383" i="2" s="1"/>
  <c r="K964" i="2"/>
  <c r="L964" i="2" s="1"/>
  <c r="K384" i="2"/>
  <c r="L384" i="2" s="1"/>
  <c r="K385" i="2"/>
  <c r="L385" i="2" s="1"/>
  <c r="K386" i="2"/>
  <c r="L386" i="2" s="1"/>
  <c r="K965" i="2"/>
  <c r="L965" i="2" s="1"/>
  <c r="K387" i="2"/>
  <c r="L387" i="2" s="1"/>
  <c r="K34" i="2"/>
  <c r="L34" i="2" s="1"/>
  <c r="K127" i="2"/>
  <c r="L127" i="2" s="1"/>
  <c r="K966" i="2"/>
  <c r="L966" i="2" s="1"/>
  <c r="K967" i="2"/>
  <c r="L967" i="2" s="1"/>
  <c r="K83" i="2"/>
  <c r="L83" i="2" s="1"/>
  <c r="K388" i="2"/>
  <c r="L388" i="2" s="1"/>
  <c r="K51" i="2"/>
  <c r="L51" i="2" s="1"/>
  <c r="K968" i="2"/>
  <c r="L968" i="2" s="1"/>
  <c r="K389" i="2"/>
  <c r="L389" i="2" s="1"/>
  <c r="K35" i="2"/>
  <c r="L35" i="2" s="1"/>
  <c r="K969" i="2"/>
  <c r="L969" i="2" s="1"/>
  <c r="K970" i="2"/>
  <c r="L970" i="2" s="1"/>
  <c r="K52" i="2"/>
  <c r="L52" i="2" s="1"/>
  <c r="K390" i="2"/>
  <c r="L390" i="2" s="1"/>
  <c r="K128" i="2"/>
  <c r="L128" i="2" s="1"/>
  <c r="K971" i="2"/>
  <c r="L971" i="2" s="1"/>
  <c r="K972" i="2"/>
  <c r="L972" i="2" s="1"/>
  <c r="K129" i="2"/>
  <c r="L129" i="2" s="1"/>
  <c r="K84" i="2"/>
  <c r="L84" i="2" s="1"/>
  <c r="K11" i="2"/>
  <c r="L11" i="2" s="1"/>
  <c r="K391" i="2"/>
  <c r="L391" i="2" s="1"/>
  <c r="K36" i="2"/>
  <c r="L36" i="2" s="1"/>
  <c r="K973" i="2"/>
  <c r="L973" i="2" s="1"/>
  <c r="K974" i="2"/>
  <c r="L974" i="2" s="1"/>
  <c r="K130" i="2"/>
  <c r="L130" i="2" s="1"/>
  <c r="K392" i="2"/>
  <c r="L392" i="2" s="1"/>
  <c r="K975" i="2"/>
  <c r="L975" i="2" s="1"/>
  <c r="K976" i="2"/>
  <c r="L976" i="2" s="1"/>
  <c r="K393" i="2"/>
  <c r="L393" i="2" s="1"/>
  <c r="K977" i="2"/>
  <c r="L977" i="2" s="1"/>
  <c r="K978" i="2"/>
  <c r="L978" i="2" s="1"/>
  <c r="K394" i="2"/>
  <c r="L394" i="2" s="1"/>
  <c r="K979" i="2"/>
  <c r="L979" i="2" s="1"/>
  <c r="K395" i="2"/>
  <c r="L395" i="2" s="1"/>
  <c r="K980" i="2"/>
  <c r="L980" i="2" s="1"/>
  <c r="K981" i="2"/>
  <c r="L981" i="2" s="1"/>
  <c r="K982" i="2"/>
  <c r="L982" i="2" s="1"/>
  <c r="K37" i="2"/>
  <c r="L37" i="2" s="1"/>
  <c r="K396" i="2"/>
  <c r="L396" i="2" s="1"/>
  <c r="K397" i="2"/>
  <c r="L397" i="2" s="1"/>
  <c r="K983" i="2"/>
  <c r="L983" i="2" s="1"/>
  <c r="K984" i="2"/>
  <c r="L984" i="2" s="1"/>
  <c r="K398" i="2"/>
  <c r="L398" i="2" s="1"/>
  <c r="K38" i="2"/>
  <c r="L38" i="2" s="1"/>
  <c r="K39" i="2"/>
  <c r="L39" i="2" s="1"/>
  <c r="K40" i="2"/>
  <c r="L40" i="2" s="1"/>
  <c r="K41" i="2"/>
  <c r="L41" i="2" s="1"/>
  <c r="K131" i="2"/>
  <c r="L131" i="2" s="1"/>
  <c r="K132" i="2"/>
  <c r="L132" i="2" s="1"/>
  <c r="K133" i="2"/>
  <c r="L133" i="2" s="1"/>
  <c r="K134" i="2"/>
  <c r="L134" i="2" s="1"/>
  <c r="K135" i="2"/>
  <c r="L135" i="2" s="1"/>
  <c r="K136" i="2"/>
  <c r="L136" i="2" s="1"/>
  <c r="K137" i="2"/>
  <c r="L137" i="2" s="1"/>
  <c r="K138" i="2"/>
  <c r="L138" i="2" s="1"/>
  <c r="K139" i="2"/>
  <c r="L139" i="2" s="1"/>
  <c r="K85" i="2"/>
  <c r="L85" i="2" s="1"/>
  <c r="K140" i="2"/>
  <c r="L140" i="2" s="1"/>
  <c r="K141" i="2"/>
  <c r="L141" i="2" s="1"/>
  <c r="K86" i="2"/>
  <c r="L86" i="2" s="1"/>
  <c r="K399" i="2"/>
  <c r="L399" i="2" s="1"/>
  <c r="K400" i="2"/>
  <c r="L400" i="2" s="1"/>
  <c r="K401" i="2"/>
  <c r="L401" i="2" s="1"/>
  <c r="K402" i="2"/>
  <c r="L402" i="2" s="1"/>
  <c r="K403" i="2"/>
  <c r="L403" i="2" s="1"/>
  <c r="K404" i="2"/>
  <c r="L404" i="2" s="1"/>
  <c r="K405" i="2"/>
  <c r="L405" i="2" s="1"/>
  <c r="K406" i="2"/>
  <c r="L406" i="2" s="1"/>
  <c r="K407" i="2"/>
  <c r="L407" i="2" s="1"/>
  <c r="K985" i="2"/>
  <c r="L985" i="2" s="1"/>
  <c r="K142" i="2"/>
  <c r="L142" i="2" s="1"/>
  <c r="K408" i="2"/>
  <c r="L408" i="2" s="1"/>
  <c r="K409" i="2"/>
  <c r="L409" i="2" s="1"/>
  <c r="K410" i="2"/>
  <c r="L410" i="2" s="1"/>
  <c r="K411" i="2"/>
  <c r="L411" i="2" s="1"/>
  <c r="K412" i="2"/>
  <c r="L412" i="2" s="1"/>
  <c r="K87" i="2"/>
  <c r="L87" i="2" s="1"/>
  <c r="K413" i="2"/>
  <c r="L413" i="2" s="1"/>
  <c r="K143" i="2"/>
  <c r="L143" i="2" s="1"/>
  <c r="K414" i="2"/>
  <c r="L414" i="2" s="1"/>
  <c r="K986" i="2"/>
  <c r="L986" i="2" s="1"/>
  <c r="K987" i="2"/>
  <c r="L987" i="2" s="1"/>
  <c r="K144" i="2"/>
  <c r="L144" i="2" s="1"/>
  <c r="K415" i="2"/>
  <c r="L415" i="2" s="1"/>
  <c r="K988" i="2"/>
  <c r="L988" i="2" s="1"/>
  <c r="K989" i="2"/>
  <c r="L989" i="2" s="1"/>
  <c r="K990" i="2"/>
  <c r="L990" i="2" s="1"/>
  <c r="K88" i="2"/>
  <c r="L88" i="2" s="1"/>
  <c r="K145" i="2"/>
  <c r="L145" i="2" s="1"/>
  <c r="K416" i="2"/>
  <c r="L416" i="2" s="1"/>
  <c r="K991" i="2"/>
  <c r="L991" i="2" s="1"/>
  <c r="K417" i="2"/>
  <c r="L417" i="2" s="1"/>
  <c r="K992" i="2"/>
  <c r="L992" i="2" s="1"/>
  <c r="K993" i="2"/>
  <c r="L993" i="2" s="1"/>
  <c r="K418" i="2"/>
  <c r="L418" i="2" s="1"/>
  <c r="K994" i="2"/>
  <c r="L994" i="2" s="1"/>
  <c r="K419" i="2"/>
  <c r="L419" i="2" s="1"/>
  <c r="K53" i="2"/>
  <c r="L53" i="2" s="1"/>
  <c r="K420" i="2"/>
  <c r="L420" i="2" s="1"/>
  <c r="K995" i="2"/>
  <c r="L995" i="2" s="1"/>
  <c r="K421" i="2"/>
  <c r="L421" i="2" s="1"/>
  <c r="K146" i="2"/>
  <c r="L146" i="2" s="1"/>
  <c r="K996" i="2"/>
  <c r="L996" i="2" s="1"/>
  <c r="K997" i="2"/>
  <c r="L997" i="2" s="1"/>
  <c r="K998" i="2"/>
  <c r="L998" i="2" s="1"/>
  <c r="K422" i="2"/>
  <c r="L422" i="2" s="1"/>
  <c r="K999" i="2"/>
  <c r="L999" i="2" s="1"/>
  <c r="K423" i="2"/>
  <c r="L423" i="2" s="1"/>
  <c r="K1000" i="2"/>
  <c r="L1000" i="2" s="1"/>
  <c r="K424" i="2"/>
  <c r="L424" i="2" s="1"/>
  <c r="K1001" i="2"/>
  <c r="L1001" i="2" s="1"/>
  <c r="B4" i="5" l="1"/>
  <c r="B17" i="5" s="1"/>
  <c r="B18" i="5"/>
  <c r="E16" i="5"/>
  <c r="B14" i="5"/>
  <c r="B5" i="5"/>
  <c r="B6" i="5" s="1"/>
  <c r="B16" i="5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<sst xmlns="http://schemas.openxmlformats.org/spreadsheetml/2006/main" count="12084" uniqueCount="1123">
  <si>
    <t>station_id</t>
  </si>
  <si>
    <t>station_name</t>
  </si>
  <si>
    <t>city</t>
  </si>
  <si>
    <t>state</t>
  </si>
  <si>
    <t>country</t>
  </si>
  <si>
    <t>latitude</t>
  </si>
  <si>
    <t>longitude</t>
  </si>
  <si>
    <t>charging_points</t>
  </si>
  <si>
    <t>status</t>
  </si>
  <si>
    <t>operator</t>
  </si>
  <si>
    <t xml:space="preserve">Nikol EV Charging station </t>
  </si>
  <si>
    <t>Pune</t>
  </si>
  <si>
    <t>Unknown</t>
  </si>
  <si>
    <t>India</t>
  </si>
  <si>
    <t>Operational</t>
  </si>
  <si>
    <t xml:space="preserve">Blaze Fast Charger For 2 Ev Wheeler </t>
  </si>
  <si>
    <t>Lb Nagar</t>
  </si>
  <si>
    <t>Telangana</t>
  </si>
  <si>
    <t>Bolt.Earth (IN)</t>
  </si>
  <si>
    <t>Tata Power Charging Station</t>
  </si>
  <si>
    <t>Odisha</t>
  </si>
  <si>
    <t>Hindustan Petroleum Corporation Limited Charging Station</t>
  </si>
  <si>
    <t>Hindustan Petroleum Corporation Limited</t>
  </si>
  <si>
    <t>Jio-bp</t>
  </si>
  <si>
    <t>Ather Grid Charging Station</t>
  </si>
  <si>
    <t>Ather Charging Station</t>
  </si>
  <si>
    <t>Ather charging station</t>
  </si>
  <si>
    <t>WARIVO ELECTRIC SCOOTER SHOWROOM -PREMJIT MOTORS BARIPADA</t>
  </si>
  <si>
    <t>Electric Vehicle Charging Station</t>
  </si>
  <si>
    <t>BPCL Charging Station</t>
  </si>
  <si>
    <t>Ankush Vehicles</t>
  </si>
  <si>
    <t>CharjKaro Charging Station</t>
  </si>
  <si>
    <t>Jio-bp pulse Charging Station</t>
  </si>
  <si>
    <t>PRATIK E RICKSHAW</t>
  </si>
  <si>
    <t>Adani Charging Station</t>
  </si>
  <si>
    <t>NIKOL EV Charging Station</t>
  </si>
  <si>
    <t>Laxmi E Bike Solution</t>
  </si>
  <si>
    <t>Ola Charging Station</t>
  </si>
  <si>
    <t>Bolt.Earth</t>
  </si>
  <si>
    <t>EESL Charging Station</t>
  </si>
  <si>
    <t>Om sai corporation e rickshaw</t>
  </si>
  <si>
    <t>Not Operational</t>
  </si>
  <si>
    <t>Ampere EV by Greaves - Green Wheels</t>
  </si>
  <si>
    <t>Thunder Plus Charging Station</t>
  </si>
  <si>
    <t>Tata Power Ez Charging Station</t>
  </si>
  <si>
    <t>kesannager electric office</t>
  </si>
  <si>
    <t>Bal Gopal Motors</t>
  </si>
  <si>
    <t>Jio-bp pulse EV Charging Station</t>
  </si>
  <si>
    <t>Statiq Charging Station</t>
  </si>
  <si>
    <t>Ola Electric Mobility Charging Station</t>
  </si>
  <si>
    <t>DiodeEV Charging Station</t>
  </si>
  <si>
    <t>Kazam Charging Station</t>
  </si>
  <si>
    <t>MIRZA RIYAZ HOUSE , CONNON XEROX SERVICE CENTRE,</t>
  </si>
  <si>
    <t>G.K Rickshaw</t>
  </si>
  <si>
    <t>KACHERI SECTION TPCODL</t>
  </si>
  <si>
    <t>Relux Charging Station</t>
  </si>
  <si>
    <t>Maa Tara Tarini Tour And Travels</t>
  </si>
  <si>
    <t>DIMILI VILLAGE</t>
  </si>
  <si>
    <t>okinawa electric scooter</t>
  </si>
  <si>
    <t>DK MOTORS</t>
  </si>
  <si>
    <t>Urzza Charging Station</t>
  </si>
  <si>
    <t>Ather Energy Charging Station</t>
  </si>
  <si>
    <t>Voltran Charging Station</t>
  </si>
  <si>
    <t>AtherGrid Charging Station</t>
  </si>
  <si>
    <t>Charzer Charging Station</t>
  </si>
  <si>
    <t>JoulePoint Charging Station</t>
  </si>
  <si>
    <t>Bolt.Earth Charging Station</t>
  </si>
  <si>
    <t>ParkNConnect Charging Station</t>
  </si>
  <si>
    <t>Royal Drive EVCS</t>
  </si>
  <si>
    <t>Venpalavattom</t>
  </si>
  <si>
    <t>Kerala</t>
  </si>
  <si>
    <t>GO EC (IN)</t>
  </si>
  <si>
    <t>Poovar PNT EVCS</t>
  </si>
  <si>
    <t>Kulathoor</t>
  </si>
  <si>
    <t>Ayyappa EVCS</t>
  </si>
  <si>
    <t>Erumely</t>
  </si>
  <si>
    <t>Adimali Rangers</t>
  </si>
  <si>
    <t>Adimali</t>
  </si>
  <si>
    <t>Hill View EVCS</t>
  </si>
  <si>
    <t>Munnar</t>
  </si>
  <si>
    <t>Cargo Auto Hub EVCS</t>
  </si>
  <si>
    <t>Bharananganam</t>
  </si>
  <si>
    <t>Minerva EVCS</t>
  </si>
  <si>
    <t>Ettumanoor</t>
  </si>
  <si>
    <t>Savoi Complex EVCS</t>
  </si>
  <si>
    <t>Koothattukulam</t>
  </si>
  <si>
    <t>Haridwar EVCS</t>
  </si>
  <si>
    <t>Pattakulam EV Super Charging Station</t>
  </si>
  <si>
    <t>Kothamangalam</t>
  </si>
  <si>
    <t>Eco Park EVCS</t>
  </si>
  <si>
    <t>Pukkattupady</t>
  </si>
  <si>
    <t>Yash Square EVCS</t>
  </si>
  <si>
    <t>Aluva</t>
  </si>
  <si>
    <t>Ie.On EVCS</t>
  </si>
  <si>
    <t>Vazhakkulam</t>
  </si>
  <si>
    <t>JP Complex EVCS</t>
  </si>
  <si>
    <t>Perumbavoor</t>
  </si>
  <si>
    <t>Electro Spark EVCS</t>
  </si>
  <si>
    <t>Smartvolt EVCS</t>
  </si>
  <si>
    <t>Kalady</t>
  </si>
  <si>
    <t>Chendamangalam Combined Energy</t>
  </si>
  <si>
    <t>Chendamangalam</t>
  </si>
  <si>
    <t>Ideal EV Super Charging Station</t>
  </si>
  <si>
    <t>North Paravur</t>
  </si>
  <si>
    <t>rajeEVam EVCS</t>
  </si>
  <si>
    <t>Kodungallur</t>
  </si>
  <si>
    <t>Nellikkunnu Snopcap EVCS</t>
  </si>
  <si>
    <t>Nellikkunnu</t>
  </si>
  <si>
    <t>Chavakkad Golden Tower EVCS</t>
  </si>
  <si>
    <t>Punnayur</t>
  </si>
  <si>
    <t>Guruvayoor Sreeja EVCS</t>
  </si>
  <si>
    <t>Guruvayur</t>
  </si>
  <si>
    <t>Swathi EVCS</t>
  </si>
  <si>
    <t>Kollengode</t>
  </si>
  <si>
    <t>Hi - Span EVCS</t>
  </si>
  <si>
    <t>Pampampallam</t>
  </si>
  <si>
    <t>Page EVCS</t>
  </si>
  <si>
    <t>Tirur</t>
  </si>
  <si>
    <t>Dilkush EVCS</t>
  </si>
  <si>
    <t>Ramanattukara</t>
  </si>
  <si>
    <t>Calicut Malabar Gold HQ EVCS</t>
  </si>
  <si>
    <t>Peruvayal</t>
  </si>
  <si>
    <t>Kunnamangalam Little Flower EVCS</t>
  </si>
  <si>
    <t>Chelavoor</t>
  </si>
  <si>
    <t>Lulu Mall EVCS</t>
  </si>
  <si>
    <t>Govindapuram</t>
  </si>
  <si>
    <t>Iris Mall EVCS</t>
  </si>
  <si>
    <t>Balusseri</t>
  </si>
  <si>
    <t>Elektron EVCS</t>
  </si>
  <si>
    <t>Perambra</t>
  </si>
  <si>
    <t>Power Drive EV Supercharging Station</t>
  </si>
  <si>
    <t>Anjarakandy</t>
  </si>
  <si>
    <t>Sreekandapuram Samudra EVCS</t>
  </si>
  <si>
    <t>Sreekandapuram</t>
  </si>
  <si>
    <t>Tamar Cafe</t>
  </si>
  <si>
    <t>Kumbla</t>
  </si>
  <si>
    <t>Sheraton Grand Chennai Resort</t>
  </si>
  <si>
    <t>Chennai</t>
  </si>
  <si>
    <t>Tamil Nadu</t>
  </si>
  <si>
    <t>Chargezone (India)</t>
  </si>
  <si>
    <t>Four Points By Sheraton</t>
  </si>
  <si>
    <t>Mahabalipuram</t>
  </si>
  <si>
    <t>Pondur - Oragadam</t>
  </si>
  <si>
    <t>Sriperumbudur</t>
  </si>
  <si>
    <t>Fairfield By Marriott</t>
  </si>
  <si>
    <t>Hotel Seasons</t>
  </si>
  <si>
    <t>Tiruvannamalai</t>
  </si>
  <si>
    <t>Sugam Hospitality</t>
  </si>
  <si>
    <t>Arasur</t>
  </si>
  <si>
    <t>Ashva Hyundai</t>
  </si>
  <si>
    <t>Elambalur</t>
  </si>
  <si>
    <t>Kovai Hyundai</t>
  </si>
  <si>
    <t>Salem</t>
  </si>
  <si>
    <t>Lotus Hyundai</t>
  </si>
  <si>
    <t>Coimbatore</t>
  </si>
  <si>
    <t>Vetri Hyundai</t>
  </si>
  <si>
    <t>Thanjavur</t>
  </si>
  <si>
    <t>Courtyard By Marriott</t>
  </si>
  <si>
    <t>Tiruchirappalli</t>
  </si>
  <si>
    <t>Oxina Hyundai</t>
  </si>
  <si>
    <t>Surya's Veggie Restaurant</t>
  </si>
  <si>
    <t>Vaiyampatti</t>
  </si>
  <si>
    <t>Sree Karpagamoorthy Automobiles</t>
  </si>
  <si>
    <t>Karaikudi</t>
  </si>
  <si>
    <t>Veepees Bistro And CafÃ¨</t>
  </si>
  <si>
    <t>Tirumangalam</t>
  </si>
  <si>
    <t>M. S. Shanmuganadar Mattai Kadai</t>
  </si>
  <si>
    <t>Mettupatti</t>
  </si>
  <si>
    <t>Popular Hyundai</t>
  </si>
  <si>
    <t>Thrissur</t>
  </si>
  <si>
    <t>Indus EV Charging</t>
  </si>
  <si>
    <t>Nileshwaram</t>
  </si>
  <si>
    <t>JBS Bistro Cafe</t>
  </si>
  <si>
    <t>Tirunelveli</t>
  </si>
  <si>
    <t>ChargeMod (IN)</t>
  </si>
  <si>
    <t>Hydra Charging Station</t>
  </si>
  <si>
    <t>Dharapuram</t>
  </si>
  <si>
    <t>Singallur</t>
  </si>
  <si>
    <t>Hydra Charging</t>
  </si>
  <si>
    <t>Mettupalayam</t>
  </si>
  <si>
    <t>Cherumattathil Agencies</t>
  </si>
  <si>
    <t>Udayamperoor</t>
  </si>
  <si>
    <t>Keys Select Kochi</t>
  </si>
  <si>
    <t>Kochi</t>
  </si>
  <si>
    <t>Lemon Tree Vembanad Lake Resort</t>
  </si>
  <si>
    <t>Muhamma</t>
  </si>
  <si>
    <t>Key Select Thiruvananthapuram</t>
  </si>
  <si>
    <t>Thiruvananthapuram</t>
  </si>
  <si>
    <t>Lemon Tree Hotel</t>
  </si>
  <si>
    <t>KKOH</t>
  </si>
  <si>
    <t>Nagercoil</t>
  </si>
  <si>
    <t>Regen Energy</t>
  </si>
  <si>
    <t>Kechery</t>
  </si>
  <si>
    <t>Driftnatuon Food Court NH44</t>
  </si>
  <si>
    <t>Driftnation Food Court NH44</t>
  </si>
  <si>
    <t>JIO BP Pulse (India)</t>
  </si>
  <si>
    <t>SK Volt Hub Kovoor</t>
  </si>
  <si>
    <t>Kozhikode</t>
  </si>
  <si>
    <t>Zeon Charging</t>
  </si>
  <si>
    <t>NE-4 KFC Parking</t>
  </si>
  <si>
    <t>Haryana</t>
  </si>
  <si>
    <t>Statiq (IN)</t>
  </si>
  <si>
    <t>Hotel Highway King</t>
  </si>
  <si>
    <t>Rajasthan</t>
  </si>
  <si>
    <t>Old Rao Hotel</t>
  </si>
  <si>
    <t>Dudu</t>
  </si>
  <si>
    <t>rajasthan</t>
  </si>
  <si>
    <t>Adani Gas-EV (TR)</t>
  </si>
  <si>
    <t>Earthtron EV</t>
  </si>
  <si>
    <t>Paota</t>
  </si>
  <si>
    <t>EarthtronEV (IN)</t>
  </si>
  <si>
    <t>CHARGE+</t>
  </si>
  <si>
    <t>Mannat</t>
  </si>
  <si>
    <t>Charge_iN by Mahindra</t>
  </si>
  <si>
    <t>Amrai Resort Tata.Ev</t>
  </si>
  <si>
    <t>Satara</t>
  </si>
  <si>
    <t>MH</t>
  </si>
  <si>
    <t>Tata.Ev Vapi</t>
  </si>
  <si>
    <t>Vapi</t>
  </si>
  <si>
    <t>Gujarat</t>
  </si>
  <si>
    <t>BPCL EV Dharamshala Road</t>
  </si>
  <si>
    <t>Dharamshala</t>
  </si>
  <si>
    <t>Himachal Pradesh</t>
  </si>
  <si>
    <t>eDrive BPCL (IN)</t>
  </si>
  <si>
    <t>Bundelkhand Expressway 188 Km Rest Area</t>
  </si>
  <si>
    <t>Uttar Pradesh</t>
  </si>
  <si>
    <t>Bundelkhand Expressway Chitrakoot Toll</t>
  </si>
  <si>
    <t>JIO-BP Pulse</t>
  </si>
  <si>
    <t>Armoor</t>
  </si>
  <si>
    <t>NH44</t>
  </si>
  <si>
    <t>Sai Restaurant &amp; Cafe</t>
  </si>
  <si>
    <t>Narayanwadi</t>
  </si>
  <si>
    <t>Maharashtra</t>
  </si>
  <si>
    <t>Ishyu Restaurant Jetcharge</t>
  </si>
  <si>
    <t>Al Ameemi Fast Charging Station</t>
  </si>
  <si>
    <t>Payyanur</t>
  </si>
  <si>
    <t>EQ TP Power | Vellur</t>
  </si>
  <si>
    <t>Vellur</t>
  </si>
  <si>
    <t>EQ Sprinkle EVCS | Thaliparamba</t>
  </si>
  <si>
    <t>Thaliparamba</t>
  </si>
  <si>
    <t>Chirakkal Bank EVCS</t>
  </si>
  <si>
    <t>Chirakkal</t>
  </si>
  <si>
    <t>VAN-V | EVOK | Panamaram</t>
  </si>
  <si>
    <t>Panamaram</t>
  </si>
  <si>
    <t>JetEV Nest Developers | Kambalakkad</t>
  </si>
  <si>
    <t>Kamabalakkad</t>
  </si>
  <si>
    <t>Ecozone EVCS | Ulliyeri</t>
  </si>
  <si>
    <t>Ulliyeri</t>
  </si>
  <si>
    <t>Flash Charge EVCS | Thirivangoor</t>
  </si>
  <si>
    <t>Thirivangoor</t>
  </si>
  <si>
    <t>Kairali EVCS | Vengalam</t>
  </si>
  <si>
    <t>Vengalam</t>
  </si>
  <si>
    <t>EVM Citroen Calicut</t>
  </si>
  <si>
    <t>Shakti | EVOK Charging Hub</t>
  </si>
  <si>
    <t>EcoVolt EVCS | EVOK | Pantheerankavu</t>
  </si>
  <si>
    <t>Pantheerankavu</t>
  </si>
  <si>
    <t>Bisluck Energy EVCS | Vattaparamba</t>
  </si>
  <si>
    <t>Edavannappara</t>
  </si>
  <si>
    <t>Elite EVOK Charging Hub | Perinthalmanna</t>
  </si>
  <si>
    <t>Perinthalmanna</t>
  </si>
  <si>
    <t>Sam EVCV | Perinthalmanna</t>
  </si>
  <si>
    <t>Parinthalmanna</t>
  </si>
  <si>
    <t>BP Angadi | EVOK | Tirur</t>
  </si>
  <si>
    <t>EVee Buddy | Town Plug EVCS | Palakkad</t>
  </si>
  <si>
    <t>Palakkad</t>
  </si>
  <si>
    <t>EVMOD EVCS | Pudussery</t>
  </si>
  <si>
    <t>Kanjikode</t>
  </si>
  <si>
    <t>EVDay EVCS | Ottappalam | Manissery</t>
  </si>
  <si>
    <t>Ottappalam</t>
  </si>
  <si>
    <t>K4 EV Fast Charging Station</t>
  </si>
  <si>
    <t>Kunnamkulam</t>
  </si>
  <si>
    <t>VKJ | Flash Charge EVCS | Chettuva</t>
  </si>
  <si>
    <t>Chettuva</t>
  </si>
  <si>
    <t>Duke Communications | Pazhuvil</t>
  </si>
  <si>
    <t>Pazhuvil</t>
  </si>
  <si>
    <t>Amigo EV Charge Hub | Marygiri | Vadakkenchery</t>
  </si>
  <si>
    <t>Vadakkenchery</t>
  </si>
  <si>
    <t>Turbo EV Charge Hub | Mannuthi Bypass</t>
  </si>
  <si>
    <t>Mannuthi</t>
  </si>
  <si>
    <t>EVOK Charging Hub | Mannuthy</t>
  </si>
  <si>
    <t>M Star EVCS | Koorkenchery</t>
  </si>
  <si>
    <t>Irrai EVCS | Chalakka</t>
  </si>
  <si>
    <t>Chalakka</t>
  </si>
  <si>
    <t>SK EVCS | Kizhakkambalam</t>
  </si>
  <si>
    <t>Kizhakkambalam</t>
  </si>
  <si>
    <t>Jayalakshmi Silks EVCS | CAPGO | Vennala</t>
  </si>
  <si>
    <t>Vennala</t>
  </si>
  <si>
    <t>Sunvolt DLF Riverside | Vyttila</t>
  </si>
  <si>
    <t>Vyttila</t>
  </si>
  <si>
    <t>Flash EVCS | Kundannoor</t>
  </si>
  <si>
    <t>Kundannoor</t>
  </si>
  <si>
    <t>Adithya Shree EVCS | Ponnamveli</t>
  </si>
  <si>
    <t>Cherthala</t>
  </si>
  <si>
    <t>EVee Buddy | Mangalath EVCS | Mangalathunada</t>
  </si>
  <si>
    <t>Kolenchery</t>
  </si>
  <si>
    <t>Kavalangad Service Bank EVCS | EVOK</t>
  </si>
  <si>
    <t>Nellimattom</t>
  </si>
  <si>
    <t>EVOK Charging Station | Meenkunnam</t>
  </si>
  <si>
    <t>Meenkunnam</t>
  </si>
  <si>
    <t>EVee Buddy | Vedas Energy EVCS | Ramapuram</t>
  </si>
  <si>
    <t>Ramapuram</t>
  </si>
  <si>
    <t>Qwik Volt EVCS | Kothanalloor</t>
  </si>
  <si>
    <t>Nest Homestay EVOK | Adimali</t>
  </si>
  <si>
    <t>EVee Buddy | Everest Hotel | Idukki</t>
  </si>
  <si>
    <t>Idukki</t>
  </si>
  <si>
    <t>Flash Charge EVCS | Kattappana</t>
  </si>
  <si>
    <t>Kattappana</t>
  </si>
  <si>
    <t>Flash Charge EVCS | Vagamon</t>
  </si>
  <si>
    <t>Vagamon</t>
  </si>
  <si>
    <t>EV Point EVCS | Pala</t>
  </si>
  <si>
    <t>Pala</t>
  </si>
  <si>
    <t>EQ ChargeMate | Naalumanikkattu</t>
  </si>
  <si>
    <t>Manarcadu</t>
  </si>
  <si>
    <t>Sihla Energy EVCS | Pathanadu</t>
  </si>
  <si>
    <t>Pathanadu</t>
  </si>
  <si>
    <t>EQ Charis EVCS | Cheeranchira</t>
  </si>
  <si>
    <t>Changanassery</t>
  </si>
  <si>
    <t>Iongrid | Thuruthy</t>
  </si>
  <si>
    <t>Changanasseri</t>
  </si>
  <si>
    <t>Zap N Go</t>
  </si>
  <si>
    <t>Kuttanadu</t>
  </si>
  <si>
    <t>EVOK Charging Station | Thiruvalla</t>
  </si>
  <si>
    <t>Thiruvalla</t>
  </si>
  <si>
    <t>Anupama EVCS | Pathiyoor</t>
  </si>
  <si>
    <t>Pathiyoor</t>
  </si>
  <si>
    <t>EQ Kalayil EVCS | Adoor</t>
  </si>
  <si>
    <t>Adoor</t>
  </si>
  <si>
    <t>Throw In Foodcourt | Karunagappalli</t>
  </si>
  <si>
    <t>Karunagappalli</t>
  </si>
  <si>
    <t>Best EVCS | Karunagappalli</t>
  </si>
  <si>
    <t>Karunagapally</t>
  </si>
  <si>
    <t>Panamthodil Bakers | Chavara</t>
  </si>
  <si>
    <t>Chavara</t>
  </si>
  <si>
    <t>Pontoor EVCS | Fill Nxt | Kunnicode</t>
  </si>
  <si>
    <t>Kunnicode</t>
  </si>
  <si>
    <t>Gilgal EVCS | Fill Nxt | Valakom</t>
  </si>
  <si>
    <t>Valakom</t>
  </si>
  <si>
    <t>M Square EVOK | Kureepuzha</t>
  </si>
  <si>
    <t>Kollam</t>
  </si>
  <si>
    <t>AR Square EVCS | Kavalayoor</t>
  </si>
  <si>
    <t>Kavalayur</t>
  </si>
  <si>
    <t>JKV Powern Hub EVCS | Palayam</t>
  </si>
  <si>
    <t>Chandra EVCS | Pettah</t>
  </si>
  <si>
    <t>Illam Chacka</t>
  </si>
  <si>
    <t>Thriuvananthapuram</t>
  </si>
  <si>
    <t>EV Park ECVS Kazhakkoottam | Karthika Park Hotel</t>
  </si>
  <si>
    <t>EQ Future Mobility Thakkaram</t>
  </si>
  <si>
    <t>Rest Area Mumbai - Vadodara Expressway</t>
  </si>
  <si>
    <t>Saraswani</t>
  </si>
  <si>
    <t>NE4 Eest Area Saraswani</t>
  </si>
  <si>
    <t>Hotel Empire ChargeZone</t>
  </si>
  <si>
    <t>Chikhli</t>
  </si>
  <si>
    <t>Home</t>
  </si>
  <si>
    <t>Hailakandi</t>
  </si>
  <si>
    <t>Assam</t>
  </si>
  <si>
    <t>Viraj Junction EFill EVCS</t>
  </si>
  <si>
    <t>NH48</t>
  </si>
  <si>
    <t>Karnataka</t>
  </si>
  <si>
    <t>Tata Power</t>
  </si>
  <si>
    <t>Tata Power Hotel Elite</t>
  </si>
  <si>
    <t>Lucknow</t>
  </si>
  <si>
    <t>Hotel Annapura</t>
  </si>
  <si>
    <t>Piplod</t>
  </si>
  <si>
    <t>Shree Kanha International Chargezone</t>
  </si>
  <si>
    <t>Ratlam</t>
  </si>
  <si>
    <t>Madhya Pradesh</t>
  </si>
  <si>
    <t>KR RESORT</t>
  </si>
  <si>
    <t>Ganganagar</t>
  </si>
  <si>
    <t>Tata PowerYamuna Expressway Mathura RHS</t>
  </si>
  <si>
    <t>Yamuna Expressway</t>
  </si>
  <si>
    <t>Tata Power Yamuna Expressway Mathura Exit LHS</t>
  </si>
  <si>
    <t>Statiq Jaypee Agra</t>
  </si>
  <si>
    <t>Agra</t>
  </si>
  <si>
    <t>ev</t>
  </si>
  <si>
    <t>COIMBATORE</t>
  </si>
  <si>
    <t>TAMILNADU</t>
  </si>
  <si>
    <t>Charging station</t>
  </si>
  <si>
    <t>Midway Treat Khushi Inn Sakadehi Betul Hotel</t>
  </si>
  <si>
    <t>Tryk (IN)</t>
  </si>
  <si>
    <t>Rest Area Jio BP  RHS</t>
  </si>
  <si>
    <t>Bonli</t>
  </si>
  <si>
    <t>Lakshya Water Park</t>
  </si>
  <si>
    <t>Kota District</t>
  </si>
  <si>
    <t>Xobolt (IN)</t>
  </si>
  <si>
    <t xml:space="preserve"> Chargezone Hotel Rangoli</t>
  </si>
  <si>
    <t>Navsari</t>
  </si>
  <si>
    <t>GJ</t>
  </si>
  <si>
    <t>DME Bonli Jio BP LHS</t>
  </si>
  <si>
    <t>RJ</t>
  </si>
  <si>
    <t>DME Garoth Rest Area RHS</t>
  </si>
  <si>
    <t>Garoth</t>
  </si>
  <si>
    <t>MP</t>
  </si>
  <si>
    <t>Volttic (IN)</t>
  </si>
  <si>
    <t>Volttic Delhi Mumbai Expressway LHS Garoth</t>
  </si>
  <si>
    <t>K2 Highway Treat &amp; Resort</t>
  </si>
  <si>
    <t>Guna</t>
  </si>
  <si>
    <t>Green Mountain Resort</t>
  </si>
  <si>
    <t>Hotel Shivani</t>
  </si>
  <si>
    <t>Biora</t>
  </si>
  <si>
    <t>160kW GREEN ENERGY EV CHARGING STATION</t>
  </si>
  <si>
    <t>RK Mess &amp; Restaurant</t>
  </si>
  <si>
    <t>Manmangalam</t>
  </si>
  <si>
    <t>Aravai Aanandas</t>
  </si>
  <si>
    <t>Karur</t>
  </si>
  <si>
    <t>Hydra Charging (IN)</t>
  </si>
  <si>
    <t>VSB Auto Care</t>
  </si>
  <si>
    <t>Relux Electric (India)</t>
  </si>
  <si>
    <t>AKR Textiles</t>
  </si>
  <si>
    <t>Volttic LHS DME</t>
  </si>
  <si>
    <t>Rajpura</t>
  </si>
  <si>
    <t>Avantika Resort EV Cosmos</t>
  </si>
  <si>
    <t>Dahod</t>
  </si>
  <si>
    <t>Regenta Fairlark</t>
  </si>
  <si>
    <t>Vadodara</t>
  </si>
  <si>
    <t>EESL - Devinder Collections</t>
  </si>
  <si>
    <t>New Delhi``</t>
  </si>
  <si>
    <t>New Dehi</t>
  </si>
  <si>
    <t>EESL (IN)</t>
  </si>
  <si>
    <t>Regenta Fairlark Jio</t>
  </si>
  <si>
    <t>Hyundai EV Chg Stn Manor</t>
  </si>
  <si>
    <t>Manor</t>
  </si>
  <si>
    <t>Shree Bihariji Filling Station</t>
  </si>
  <si>
    <t>Haldwani</t>
  </si>
  <si>
    <t>Uttarakhand</t>
  </si>
  <si>
    <t>BPCL Royal Fuel Station</t>
  </si>
  <si>
    <t>Temporarily Unavailable</t>
  </si>
  <si>
    <t>Fortune Walkway Mall</t>
  </si>
  <si>
    <t>Bikanerwala Sweets Haldwani (Aargo)</t>
  </si>
  <si>
    <t>Bharat Petroleum - Janta Petrol Pump</t>
  </si>
  <si>
    <t>Tata Power- Ginger Hotel Pantnagar</t>
  </si>
  <si>
    <t>Rudrapur</t>
  </si>
  <si>
    <t>Uttarakhnad</t>
  </si>
  <si>
    <t>Ecoplug Radisson Blu Hotel</t>
  </si>
  <si>
    <t>Ecoplug</t>
  </si>
  <si>
    <t>BP-RUDRAPUR</t>
  </si>
  <si>
    <t>PREM SINGH &amp; SONS (BPCL Charging Station)</t>
  </si>
  <si>
    <t xml:space="preserve"> Rudra Continental</t>
  </si>
  <si>
    <t>Sagar Tranport Company</t>
  </si>
  <si>
    <t>Kichha</t>
  </si>
  <si>
    <t>Yash Filling Station</t>
  </si>
  <si>
    <t>2012531-PRAKASH PETROLEUM</t>
  </si>
  <si>
    <t xml:space="preserve">GLIDA JANESHWAR MISHRA PARK </t>
  </si>
  <si>
    <t>LUCKNOW</t>
  </si>
  <si>
    <t>UTTAR PRADESH</t>
  </si>
  <si>
    <t>GE WattStation (No longer active)</t>
  </si>
  <si>
    <t>GLIDA LOHIA PARK</t>
  </si>
  <si>
    <t>Khajuraho Airport</t>
  </si>
  <si>
    <t>Khajuraho</t>
  </si>
  <si>
    <t>Hotel Bundela</t>
  </si>
  <si>
    <t>Cube Stop NH-44</t>
  </si>
  <si>
    <t>Mohgaon</t>
  </si>
  <si>
    <t xml:space="preserve">Shashtri Nagar </t>
  </si>
  <si>
    <t>Partly Operational (Mixed)</t>
  </si>
  <si>
    <t>Tata Power - Electric Vehicle Charging Station</t>
  </si>
  <si>
    <t>FC - TataPower - TMSC Chandrani Enterprises</t>
  </si>
  <si>
    <t>Asansol</t>
  </si>
  <si>
    <t>West Bengal</t>
  </si>
  <si>
    <t>FC - TataPower - Hotel Sumandeep</t>
  </si>
  <si>
    <t>Dhanbad</t>
  </si>
  <si>
    <t>Jharkhand</t>
  </si>
  <si>
    <t>D N R Fuel Point</t>
  </si>
  <si>
    <t>Green Garden Family Restaurant</t>
  </si>
  <si>
    <t>Dumri</t>
  </si>
  <si>
    <t>Hotel Kantara Dine</t>
  </si>
  <si>
    <t>Solur</t>
  </si>
  <si>
    <t>Burger King</t>
  </si>
  <si>
    <t>Udayapura</t>
  </si>
  <si>
    <t>Konnagar</t>
  </si>
  <si>
    <t>Kolkata</t>
  </si>
  <si>
    <t>west bengal</t>
  </si>
  <si>
    <t>Jio-BP Pulse</t>
  </si>
  <si>
    <t>Yellagallahalli</t>
  </si>
  <si>
    <t>Tata.ev Luxon Motors - Tata Power</t>
  </si>
  <si>
    <t>Edappally</t>
  </si>
  <si>
    <t>TML Sree Gokulam Motors - Tata Power</t>
  </si>
  <si>
    <t>Tata.ev Gokulam Motors - Tata Power</t>
  </si>
  <si>
    <t>Choornikkara</t>
  </si>
  <si>
    <t>Taj Cochin Internation Airport Hotel - Tata Power</t>
  </si>
  <si>
    <t>Nedumbassery</t>
  </si>
  <si>
    <t>SAJ Earth Resort - Tata Power</t>
  </si>
  <si>
    <t>Luxon Motors - Tata Power</t>
  </si>
  <si>
    <t>Kariyad</t>
  </si>
  <si>
    <t>Sree Gokulam Motors - Tata Power</t>
  </si>
  <si>
    <t>Angamaly</t>
  </si>
  <si>
    <t>Centro Mall Charging Station - Tata Power</t>
  </si>
  <si>
    <t>IOCL Thiruvonam Fuels - Tata Power</t>
  </si>
  <si>
    <t>KVR Automotive - Tata Power</t>
  </si>
  <si>
    <t>Koppam</t>
  </si>
  <si>
    <t>Gokulam Residency - Tata Power</t>
  </si>
  <si>
    <t>Amballur</t>
  </si>
  <si>
    <t>Tata.ev Hyson Motors - Tata Power</t>
  </si>
  <si>
    <t>PCK Centenary</t>
  </si>
  <si>
    <t>TML Hyson Motors - Tata Power</t>
  </si>
  <si>
    <t>Hotel Gokulam Sabari - Tata Power</t>
  </si>
  <si>
    <t>Shirdi</t>
  </si>
  <si>
    <t>InFour Wheel Care And Tyres - Tata Power</t>
  </si>
  <si>
    <t>TML KVR Automotive - Tata Power</t>
  </si>
  <si>
    <t>IOCL Sigma Enterprises Charging Station - Tata Power</t>
  </si>
  <si>
    <t>Valanchery</t>
  </si>
  <si>
    <t>AAK Mall</t>
  </si>
  <si>
    <t>Tata.ev Store Malappuram</t>
  </si>
  <si>
    <t>Malappuram</t>
  </si>
  <si>
    <t>A M Tyres Malappuram - Tata Power</t>
  </si>
  <si>
    <t>Hotel Gokulam Relax Park</t>
  </si>
  <si>
    <t>Manjeri</t>
  </si>
  <si>
    <t>One Stop Automotive Cahrging Station - Tata Power</t>
  </si>
  <si>
    <t>Edavanna</t>
  </si>
  <si>
    <t>Moto Town Auto Hub - Tata Power</t>
  </si>
  <si>
    <t>Wandoor</t>
  </si>
  <si>
    <t>IOCL Aaditya Petroleum Naduvath Charging Station - Tata Power</t>
  </si>
  <si>
    <t>Calicut Airport Charging Station - Tata Power</t>
  </si>
  <si>
    <t>Kondotty</t>
  </si>
  <si>
    <t>TML Marina Motors - Tata Power</t>
  </si>
  <si>
    <t>Rotana Motors Meenchanda - Tata Power</t>
  </si>
  <si>
    <t>Meenchanda</t>
  </si>
  <si>
    <t>IOCL Lakshmi Sales &amp; Service - Tata Power</t>
  </si>
  <si>
    <t>Gokulam Galleria Mall - Tata Power</t>
  </si>
  <si>
    <t>Hotel Hyson Heritage - Tata Power</t>
  </si>
  <si>
    <t>Taj The Gateway Hotel - Tata Power</t>
  </si>
  <si>
    <t>IOCL Engapuzha Fuel - Tata Power</t>
  </si>
  <si>
    <t>Engapuzha</t>
  </si>
  <si>
    <t>IOCl Balaji Petroleum - Tata Power</t>
  </si>
  <si>
    <t>Sulthan Bathery</t>
  </si>
  <si>
    <t>Hotel Saugandhika Charging Station - Tata Power</t>
  </si>
  <si>
    <t>Meenangadi</t>
  </si>
  <si>
    <t>TML Marina Motors Pvt. Ltd. Kalpetta - Tata Power</t>
  </si>
  <si>
    <t>Kalpetta</t>
  </si>
  <si>
    <t>Taj Wayanad Resort and Spa- Tata Power</t>
  </si>
  <si>
    <t>Padinjarathara</t>
  </si>
  <si>
    <t>KVR Dream Vehicles Thalassery - Tata Power</t>
  </si>
  <si>
    <t>Thalassery</t>
  </si>
  <si>
    <t>IOCL - MK Petroleum - Tata Power</t>
  </si>
  <si>
    <t>Thazhe Chovva</t>
  </si>
  <si>
    <t>KVR Dream Vehicles Service Centre - Tata Power</t>
  </si>
  <si>
    <t>Iritty</t>
  </si>
  <si>
    <t>KVR Dream Vehicle - Tata Power</t>
  </si>
  <si>
    <t>Nadal</t>
  </si>
  <si>
    <t>Tata.ev KVR Dreams Kannur - Tata Power</t>
  </si>
  <si>
    <t>Kannur</t>
  </si>
  <si>
    <t>KVR Dream Vehicles Service Center - Tata Power</t>
  </si>
  <si>
    <t>V-Net Shopping Complex - Tata Power</t>
  </si>
  <si>
    <t>Payyannur</t>
  </si>
  <si>
    <t>Taj Bekkal - Tata Power</t>
  </si>
  <si>
    <t>Bekkal</t>
  </si>
  <si>
    <t>TML KVR Dream Vehicles EVCS - Tata Power</t>
  </si>
  <si>
    <t>Kasaragod</t>
  </si>
  <si>
    <t>IOCL Top Fuels Karanthakkad Charging Station - Tata Power</t>
  </si>
  <si>
    <t>Eco Charge Hub - GO EC</t>
  </si>
  <si>
    <t>Rajco EVCS - GO EC</t>
  </si>
  <si>
    <t>Neyyattinkara</t>
  </si>
  <si>
    <t>Appolo Dimora Hotel EVCS - GO EC</t>
  </si>
  <si>
    <t>Lulu International Mall EVCS - GO EC</t>
  </si>
  <si>
    <t>Trivandrum UST Campus EVCS - GO EC</t>
  </si>
  <si>
    <t>Karthika Residency Hotel EVCS - GO EC</t>
  </si>
  <si>
    <t>Karette</t>
  </si>
  <si>
    <t>KKP Renewables EVCS - GO EC</t>
  </si>
  <si>
    <t>Aeron EVCS - GO EC</t>
  </si>
  <si>
    <t>Attingal</t>
  </si>
  <si>
    <t>Zenith EVCS - GO EC</t>
  </si>
  <si>
    <t>Orion Plaza EVCS - GO EC</t>
  </si>
  <si>
    <t>Chadayamangalam</t>
  </si>
  <si>
    <t>Power Up EVCS - GO EC</t>
  </si>
  <si>
    <t>Varkala</t>
  </si>
  <si>
    <t>Green Planet EVCS - GO EC</t>
  </si>
  <si>
    <t>Kottarakkara</t>
  </si>
  <si>
    <t>RK EVCS - GO EC</t>
  </si>
  <si>
    <t>Kundara</t>
  </si>
  <si>
    <t>SK EVCS - GO EC</t>
  </si>
  <si>
    <t>Pathanapuram</t>
  </si>
  <si>
    <t>Erathu Motors EVCS - GO EC</t>
  </si>
  <si>
    <t>Puthoor</t>
  </si>
  <si>
    <t>Vrindavan EVCS - GO EC</t>
  </si>
  <si>
    <t>Inchakkad</t>
  </si>
  <si>
    <t>JB Power EVCS - GO EC</t>
  </si>
  <si>
    <t>Peninsula Park Residency EVCS - GO EC</t>
  </si>
  <si>
    <t>Green Earth - GO EC</t>
  </si>
  <si>
    <t>Sparkzone EVCS - GO EC</t>
  </si>
  <si>
    <t>Kayamkulam</t>
  </si>
  <si>
    <t>Zufo EVCS</t>
  </si>
  <si>
    <t>Cartist - GO EC</t>
  </si>
  <si>
    <t>V Volte EVCS - GO EC</t>
  </si>
  <si>
    <t>Haripad</t>
  </si>
  <si>
    <t>Anjaly EVCS - GO EC</t>
  </si>
  <si>
    <t>Omallor</t>
  </si>
  <si>
    <t>Evergreen Continental EVCS - GO EC</t>
  </si>
  <si>
    <t>Pathanamthitta</t>
  </si>
  <si>
    <t>Quik Energy EVCS - GO EC</t>
  </si>
  <si>
    <t>Chengannur</t>
  </si>
  <si>
    <t>Amrutham Auto Care EVCS - GO EC</t>
  </si>
  <si>
    <t>Changanassery Immaculate Mary EVCS</t>
  </si>
  <si>
    <t>Calvarymount Jerry Plaza</t>
  </si>
  <si>
    <t>Alliyar</t>
  </si>
  <si>
    <t>Westgate Inn EVCS - GO EC</t>
  </si>
  <si>
    <t>GO EC Charging Station</t>
  </si>
  <si>
    <t>Sora EVCS - GO EC</t>
  </si>
  <si>
    <t>Kumali</t>
  </si>
  <si>
    <t>Open Kitchen EVCS - GO EC</t>
  </si>
  <si>
    <t>Kuttikkanam</t>
  </si>
  <si>
    <t>Nandanam EVCS - GO EC</t>
  </si>
  <si>
    <t>Kodungoor</t>
  </si>
  <si>
    <t>Clay Art Cafe - GO EC</t>
  </si>
  <si>
    <t>Ponkunnam</t>
  </si>
  <si>
    <t>GO Green EVCS</t>
  </si>
  <si>
    <t>Anthikkad</t>
  </si>
  <si>
    <t>Nila's Magestic Arcade</t>
  </si>
  <si>
    <t>Kidangoor</t>
  </si>
  <si>
    <t>Ettumanur Skylight EVCS - GO EC</t>
  </si>
  <si>
    <t>Chaithanya Hospital EVCS - GO EC</t>
  </si>
  <si>
    <t>Kuravilangad</t>
  </si>
  <si>
    <t>Manjoor Beeza Clubhouse EVCS - GO EC</t>
  </si>
  <si>
    <t>Manjoor</t>
  </si>
  <si>
    <t>Kalladanthiyil EVCS - GO EC</t>
  </si>
  <si>
    <t>Neendoor</t>
  </si>
  <si>
    <t>The Grand Ambassador EVCS</t>
  </si>
  <si>
    <t>Kottayam</t>
  </si>
  <si>
    <t>Hotel Athira Residency EVCS - GO EC</t>
  </si>
  <si>
    <t>Cassia Regency EVCS - GO EC</t>
  </si>
  <si>
    <t>Alappuzha</t>
  </si>
  <si>
    <t>Neo Charge EVCS - GO EC</t>
  </si>
  <si>
    <t>Jason Orchard Inn EVCS - GO EC</t>
  </si>
  <si>
    <t>Huts Restaurant EVCS - GO EC</t>
  </si>
  <si>
    <t>Vijaya EVCS - GO EC</t>
  </si>
  <si>
    <t>Kanjiramattom</t>
  </si>
  <si>
    <t>MPA Tyres EVCS - GO EC</t>
  </si>
  <si>
    <t>Thrippunithura</t>
  </si>
  <si>
    <t>Central Talkies EVCS - GO EC</t>
  </si>
  <si>
    <t>Tribute Royale EVCS - GO EC</t>
  </si>
  <si>
    <t>Maradu</t>
  </si>
  <si>
    <t>Prithvi EVCS - GO EC</t>
  </si>
  <si>
    <t>Kadavanthra</t>
  </si>
  <si>
    <t>EC City Centre EVCS - GO EC</t>
  </si>
  <si>
    <t>Ernakulam</t>
  </si>
  <si>
    <t>Monsoon Empress Hotel EVCS</t>
  </si>
  <si>
    <t>Palarivattom</t>
  </si>
  <si>
    <t>Max EVCS - GO EC</t>
  </si>
  <si>
    <t>Park Residency EVCS - GO EC</t>
  </si>
  <si>
    <t>Kakkanad</t>
  </si>
  <si>
    <t>EVGO Hub - GO EC</t>
  </si>
  <si>
    <t>Thrikkakkara</t>
  </si>
  <si>
    <t>Daffodils EVCS - GO EC</t>
  </si>
  <si>
    <t>Edapally</t>
  </si>
  <si>
    <t>Oberon Mall EVCS - GO EC</t>
  </si>
  <si>
    <t>Lulu International Shopping Mall EVCS - GO EC</t>
  </si>
  <si>
    <t>EcoPlug EVCS - GO EC</t>
  </si>
  <si>
    <t>Neriyamangalam</t>
  </si>
  <si>
    <t>Future Clock EVCS - GO EC</t>
  </si>
  <si>
    <t>Prestige EV Super Charging Station - GO EC</t>
  </si>
  <si>
    <t xml:space="preserve">Innate Convention Centre </t>
  </si>
  <si>
    <t>Athani Energize EVCS</t>
  </si>
  <si>
    <t>Athani</t>
  </si>
  <si>
    <t>Hotel Airlink Castle - GO EC</t>
  </si>
  <si>
    <t>V-Green EVCS - GO EC</t>
  </si>
  <si>
    <t>Power Zone EV Charging Station - GO EC</t>
  </si>
  <si>
    <t>Koratty Chennai Anandabhavan EVCS - GO EC</t>
  </si>
  <si>
    <t>Koratty</t>
  </si>
  <si>
    <t>Parekkat's EVCS - GO EC</t>
  </si>
  <si>
    <t>Mala</t>
  </si>
  <si>
    <t>Kodungallur SVS - GO EC</t>
  </si>
  <si>
    <t>FUZO EV Super Charging Station</t>
  </si>
  <si>
    <t>Sree Rama EVCS - GO EC</t>
  </si>
  <si>
    <t>Daiz and Co. EVCS - GO EC</t>
  </si>
  <si>
    <t>Shobha City Mall EVCS - GO EC</t>
  </si>
  <si>
    <t>Amala Smart EVCS - GO EC</t>
  </si>
  <si>
    <t>Peramangalam</t>
  </si>
  <si>
    <t>Sree Sankara EVCS - GO EC</t>
  </si>
  <si>
    <t>Vadanappalli</t>
  </si>
  <si>
    <t>Green Drive EV Super Charging Station</t>
  </si>
  <si>
    <t>Vadanappilly</t>
  </si>
  <si>
    <t>Sree Krishna Hotel - GO EC</t>
  </si>
  <si>
    <t>Guruvayoor</t>
  </si>
  <si>
    <t>Palakkad Ahalia Women and Childern Hospital EVCS - GO EC</t>
  </si>
  <si>
    <t>Elappully</t>
  </si>
  <si>
    <t>Palakkad Ahalia Eye Hospital EVCS - GO EC</t>
  </si>
  <si>
    <t>Palakkad Ahalia Food Point EVCS - GO EC</t>
  </si>
  <si>
    <t>Ahalia Walayar - GO EC</t>
  </si>
  <si>
    <t>Walayar</t>
  </si>
  <si>
    <t>Le Sky Dine EVCS - GO EC</t>
  </si>
  <si>
    <t>Doctor Green EVCS - GO EC</t>
  </si>
  <si>
    <t>Alathur</t>
  </si>
  <si>
    <t>Jeevz - GO EC</t>
  </si>
  <si>
    <t>Vadakkencherry</t>
  </si>
  <si>
    <t>Sanjeevani Green - GO EC</t>
  </si>
  <si>
    <t>Thiruvilwamala</t>
  </si>
  <si>
    <t>Green Valley - GO EC</t>
  </si>
  <si>
    <t>Thirissur</t>
  </si>
  <si>
    <t>AR Dine - GO EC</t>
  </si>
  <si>
    <t>Cheruthuruthi</t>
  </si>
  <si>
    <t>EV Super Charging Station</t>
  </si>
  <si>
    <t>Pattambi</t>
  </si>
  <si>
    <t>Pattambi Power Bank - GO EC</t>
  </si>
  <si>
    <t>New Kerala Hotel EVCS - GO EC</t>
  </si>
  <si>
    <t>Nhangattiri</t>
  </si>
  <si>
    <t>Oasis EV Super Charging Station</t>
  </si>
  <si>
    <t>Mannarkkad</t>
  </si>
  <si>
    <t>Shalimar EVCS - GO EC</t>
  </si>
  <si>
    <t>Green Zone EVCS - GO EC</t>
  </si>
  <si>
    <t>Environ EVCS</t>
  </si>
  <si>
    <t>Changaramkulam</t>
  </si>
  <si>
    <t>CG Cafe EVCS - GO EC</t>
  </si>
  <si>
    <t>Pandikkad</t>
  </si>
  <si>
    <t>Karulai Malayora Express EVCS - GO EC</t>
  </si>
  <si>
    <t>Karulai</t>
  </si>
  <si>
    <t>Jam Joom Super Market - GO EC</t>
  </si>
  <si>
    <t>Nilambur</t>
  </si>
  <si>
    <t>ABS Motors - GO EC</t>
  </si>
  <si>
    <t>VP Mall EVCS - GO EC</t>
  </si>
  <si>
    <t>Jam Joom EV Charging Station - GO EC</t>
  </si>
  <si>
    <t>HIQ Highway Market - GO EC</t>
  </si>
  <si>
    <t>Venniyour</t>
  </si>
  <si>
    <t xml:space="preserve">Chargify EV Super Charging Station </t>
  </si>
  <si>
    <t>Reliance Fresh EVCS</t>
  </si>
  <si>
    <t>Keral</t>
  </si>
  <si>
    <t>Top Dines Hotel - GO EC</t>
  </si>
  <si>
    <t>Muthanga</t>
  </si>
  <si>
    <t>Cafe Manoila - GO EC</t>
  </si>
  <si>
    <t>CGH Wayanad Wild EV Charging Station - GO EC</t>
  </si>
  <si>
    <t>Lakkidi</t>
  </si>
  <si>
    <t>Mall of Mukkom EVCS - GO EC</t>
  </si>
  <si>
    <t>Mukkom</t>
  </si>
  <si>
    <t>HOTAG EV Charging Station - GO EC</t>
  </si>
  <si>
    <t>Thamarassery</t>
  </si>
  <si>
    <t>Green Amp EVCS - GO EC</t>
  </si>
  <si>
    <t>Calicut Malabar Gold - GO EC</t>
  </si>
  <si>
    <t>Mandrin Sky - GO EC</t>
  </si>
  <si>
    <t>JSR EVCS - GO EC</t>
  </si>
  <si>
    <t>Mambaram</t>
  </si>
  <si>
    <t>Kannur H&amp;H</t>
  </si>
  <si>
    <t>Melechowa</t>
  </si>
  <si>
    <t>G Mall - GO EC</t>
  </si>
  <si>
    <t>Exit 17 - GO EC</t>
  </si>
  <si>
    <t>Periya A Star - GO EC</t>
  </si>
  <si>
    <t>Hosdurg</t>
  </si>
  <si>
    <t>Roshi EVCS (EVOK) - ChargeMOD</t>
  </si>
  <si>
    <t>Kanhangad KSEB EVCS - ChangeMOD</t>
  </si>
  <si>
    <t>Kanhangad</t>
  </si>
  <si>
    <t>Ammas Fast - ChargeMOD</t>
  </si>
  <si>
    <t>Cheruvathur</t>
  </si>
  <si>
    <t>Mathil Service Co-Operative Bank EVCS - ChargeMOD</t>
  </si>
  <si>
    <t>Mathil</t>
  </si>
  <si>
    <t>EQ Point EVCS - ChargeMOD</t>
  </si>
  <si>
    <t>PCR Bank EVCS - ChargeMOD</t>
  </si>
  <si>
    <t>Bakkalam</t>
  </si>
  <si>
    <t>Manjapalam KSEB EVCS - ChargeMOD</t>
  </si>
  <si>
    <t>Eastend Hotel and Resorts - ChargeMOD</t>
  </si>
  <si>
    <t>Sky Penta EVCS - ChargeMOD</t>
  </si>
  <si>
    <t>Reboost EVCS - ChargeMOD</t>
  </si>
  <si>
    <t>Panoor, Kannur</t>
  </si>
  <si>
    <t>Mindful EVCS - ChargeMOD</t>
  </si>
  <si>
    <t>Payyoli</t>
  </si>
  <si>
    <t>EVOK Charger - ChargeMOD</t>
  </si>
  <si>
    <t>Kuttiyady</t>
  </si>
  <si>
    <t>Banasura Sagar KSEB EVCS - ChargeMOD</t>
  </si>
  <si>
    <t>Empire Restaurant - ChargeMOD</t>
  </si>
  <si>
    <t>Tharuvana</t>
  </si>
  <si>
    <t>Hotel Wayanad Square - ChargeMOD</t>
  </si>
  <si>
    <t>Mananthavady</t>
  </si>
  <si>
    <t>Adhithya (EVOK) - ChargeMOD</t>
  </si>
  <si>
    <t>Meenangadi EVCS - ChargeMOD</t>
  </si>
  <si>
    <t>Konfudha Resort - ChargeMOD</t>
  </si>
  <si>
    <t>Vythiri KSEB EVCS - ChargeMOD</t>
  </si>
  <si>
    <t>Vythiri</t>
  </si>
  <si>
    <t>Thamarassery KESEB EVCS - ChargeMOD</t>
  </si>
  <si>
    <t>Locus EVCS - ChargeMOD</t>
  </si>
  <si>
    <t>Koduvally</t>
  </si>
  <si>
    <t>Yadav EV Charging Station - ChargeMOD</t>
  </si>
  <si>
    <t>Kunnamangalam</t>
  </si>
  <si>
    <t>Kuttoth Enterprises EVCS - ChargeMOD</t>
  </si>
  <si>
    <t>RG Nallanna EVCS (EVOK) - ChargeMOD</t>
  </si>
  <si>
    <t>Solar Sparks EVCS - ChargeMOD</t>
  </si>
  <si>
    <t>Koyilandi</t>
  </si>
  <si>
    <t>Hotel Arcore</t>
  </si>
  <si>
    <t>Mysuru</t>
  </si>
  <si>
    <t>Manipal Hospital Mysore</t>
  </si>
  <si>
    <t>Pavangad KSEB EVCS - ChargeMOD</t>
  </si>
  <si>
    <t>Pavangad</t>
  </si>
  <si>
    <t>Gandhi Road KSEB EVCS - ChargeMOD</t>
  </si>
  <si>
    <t>Mountainpass Residency - ChargeMOD</t>
  </si>
  <si>
    <t>Vazhikadavu</t>
  </si>
  <si>
    <t>Trends Edavannappara EVCS - ChargeMOD</t>
  </si>
  <si>
    <t>Indus Motors - ChargeMOD</t>
  </si>
  <si>
    <t>Feroke</t>
  </si>
  <si>
    <t>Kay Pees Electricals (EVOK) - ChargeMOD</t>
  </si>
  <si>
    <t>Pulikkal</t>
  </si>
  <si>
    <t>Aikkarapadi</t>
  </si>
  <si>
    <t>Barakah Tiles and Stones | EVOK | Thenhipalam</t>
  </si>
  <si>
    <t>Pingottoormad</t>
  </si>
  <si>
    <t>Tirur KSEB EVCS - ChargeMOD</t>
  </si>
  <si>
    <t>Relax Point Restaurant</t>
  </si>
  <si>
    <t>Karippol</t>
  </si>
  <si>
    <t>Thirunilath ECVS Charging Station - ChargeMOD</t>
  </si>
  <si>
    <t>Kottakkal</t>
  </si>
  <si>
    <t>Malappuram KSEB EVCS - ChargeMOD</t>
  </si>
  <si>
    <t>Munduparamba</t>
  </si>
  <si>
    <t>Krishna Enterprises - ChargeMOD</t>
  </si>
  <si>
    <t>Golden Baked EVCS - ChargeMOD</t>
  </si>
  <si>
    <t>EcoCharge EVCS - ChargeMOD</t>
  </si>
  <si>
    <t>MKM Melattur (EVOK) - ChargeMOD</t>
  </si>
  <si>
    <t>Melattur</t>
  </si>
  <si>
    <t>Green Drive EVCS - ChargeMOD</t>
  </si>
  <si>
    <t>Vengoor</t>
  </si>
  <si>
    <t>Hotel Mughal Park - ChargeMOD</t>
  </si>
  <si>
    <t>Avenue Plaza - ChargeMOD</t>
  </si>
  <si>
    <t>Velanthavalam</t>
  </si>
  <si>
    <t>Vellamthavalam</t>
  </si>
  <si>
    <t>Flash Charge EVCS - ChargeMOD</t>
  </si>
  <si>
    <t>Kanjikkode</t>
  </si>
  <si>
    <t>Electrica EVCS - ChargeMOD</t>
  </si>
  <si>
    <t>Sihla Energy - ChargeMOD</t>
  </si>
  <si>
    <t>Mundur</t>
  </si>
  <si>
    <t>Lakshmi KRS EVCS - ChargeMOD</t>
  </si>
  <si>
    <t>Sreekrishnapuram</t>
  </si>
  <si>
    <t>Evee Buddy - ChargeMOD</t>
  </si>
  <si>
    <t>Kulappully KSEB EVCS - ChargeMOD</t>
  </si>
  <si>
    <t>Kulappully</t>
  </si>
  <si>
    <t>Syndicate Mall and Cinemas</t>
  </si>
  <si>
    <t>Medi Mall EVCS - ChargeMOD</t>
  </si>
  <si>
    <t>Koottanad KSEB EVCS - ChargeMOD</t>
  </si>
  <si>
    <t>Kootanad</t>
  </si>
  <si>
    <t>Sihla Energy EVCS - ChargeMOD</t>
  </si>
  <si>
    <t>Kadharkkante Chayakkada - ChargeMOD</t>
  </si>
  <si>
    <t>Maranchery Bank EVCS - ChargeMOD</t>
  </si>
  <si>
    <t>Maranchery</t>
  </si>
  <si>
    <t>Sihla Energy CV Junction</t>
  </si>
  <si>
    <t>Ponnanu</t>
  </si>
  <si>
    <t>Ponnani KSEB EVCS - ChargeMOD</t>
  </si>
  <si>
    <t>Ponnani</t>
  </si>
  <si>
    <t>Erumappetti</t>
  </si>
  <si>
    <t>SR Power Hub - ChargeMOD</t>
  </si>
  <si>
    <t>Wadakkanchery</t>
  </si>
  <si>
    <t>Executive EVCS - ChargeMOD</t>
  </si>
  <si>
    <t>Core Multicusine Restaurant - ChargeMOD</t>
  </si>
  <si>
    <t>Killannur</t>
  </si>
  <si>
    <t>Plug and Share Charge EVCS - ChargeMOD</t>
  </si>
  <si>
    <t>Vydyuthi Bhavan KSEB EVCS - ChargeMOD</t>
  </si>
  <si>
    <t>V8 Car Spa (EVOK) - ChargeMOD</t>
  </si>
  <si>
    <t>Guardian EV Charging Station by Imminent Future - ChargeMOD</t>
  </si>
  <si>
    <t>Anchorage AC - ChargeMOD</t>
  </si>
  <si>
    <t>Mundupalam</t>
  </si>
  <si>
    <t>Flash Hub EVCS - ChargeMOD</t>
  </si>
  <si>
    <t>Hotel Bhavan EVCS (EVOK) - ChargeMOD</t>
  </si>
  <si>
    <t>Engandiyoor</t>
  </si>
  <si>
    <t>Surya Hotel (EVOK) - ChargeMOD</t>
  </si>
  <si>
    <t>Chazhoor</t>
  </si>
  <si>
    <t>Valappad KSEB EVCS - ChargeMOD</t>
  </si>
  <si>
    <t>Valappad</t>
  </si>
  <si>
    <t>Nattika FIRKA Service Co-Operative Bank - ChargeMOD</t>
  </si>
  <si>
    <t>Nattika</t>
  </si>
  <si>
    <t>Karuvannur</t>
  </si>
  <si>
    <t>Irinjalakkuda KSEB EVCS - ChargeMOD</t>
  </si>
  <si>
    <t>Irinjalakkuda</t>
  </si>
  <si>
    <t>Changathikoottam EVCS - ChargeMOD</t>
  </si>
  <si>
    <t>Nenmara</t>
  </si>
  <si>
    <t>Vadakkenchery KSEB EVCS - ChargeMOD</t>
  </si>
  <si>
    <t>Plugin EVCS - ChargeMOD</t>
  </si>
  <si>
    <t>Marathakkara</t>
  </si>
  <si>
    <t>Topup Zone EVCS - ChargeMOD</t>
  </si>
  <si>
    <t>EV Point EVCS - ChargeMOD</t>
  </si>
  <si>
    <t>Kodakara</t>
  </si>
  <si>
    <t>Korner EVCS - ChargeMOD</t>
  </si>
  <si>
    <t>Chalakudy</t>
  </si>
  <si>
    <t>Edassery Samrudhi Hypermarket (EVOK) - ChargeMOD</t>
  </si>
  <si>
    <t>Indian Coffee House (EVOK) - ChargeMOD</t>
  </si>
  <si>
    <t>Chalakkudy</t>
  </si>
  <si>
    <t>Clay House Hotel</t>
  </si>
  <si>
    <t>Hill View Resort (EVOK) - ChargeMOD</t>
  </si>
  <si>
    <t>Athirappilly</t>
  </si>
  <si>
    <t>EVOK Charging Station - ChargeMOD</t>
  </si>
  <si>
    <t>Edassery Blue Bells EVCS - ChargeMOD</t>
  </si>
  <si>
    <t>Hotel Elite Palazzo</t>
  </si>
  <si>
    <t>ChargeMOD EVCS Hub</t>
  </si>
  <si>
    <t>CIAL Terminal 3</t>
  </si>
  <si>
    <t>CIAL Terminal 1</t>
  </si>
  <si>
    <t>Capgo EVCS - ChargeMOD</t>
  </si>
  <si>
    <t>Jippus Galaxy EVCS - ChargeMOD</t>
  </si>
  <si>
    <t>Airsuite Airport Hotel</t>
  </si>
  <si>
    <t>North Paravoor KSEB EVCS - ChargeMOD</t>
  </si>
  <si>
    <t>North Paravoor</t>
  </si>
  <si>
    <t>Dhruv EVCS - ChargeMOD</t>
  </si>
  <si>
    <t>Kunnukara</t>
  </si>
  <si>
    <t>Sulfex Mattress (EVOK) - ChargeMOD</t>
  </si>
  <si>
    <t>EVM MG Motors Coastline Garage - ChargeMOD</t>
  </si>
  <si>
    <t>Steelane (EVOK) - ChargeMOD</t>
  </si>
  <si>
    <t>Kalamassery</t>
  </si>
  <si>
    <t>Kalamassery KSEB EVCS - ChargeMOD</t>
  </si>
  <si>
    <t>Rajagiri College EVCS - ChargeMOD</t>
  </si>
  <si>
    <t>Flash Charge - ChargeMOD</t>
  </si>
  <si>
    <t>Kaloor KSEB EVCS - ChargeMOD</t>
  </si>
  <si>
    <t>Kaloor</t>
  </si>
  <si>
    <t>Gandhinagar KSEB EVCS - ChargeMOD</t>
  </si>
  <si>
    <t>Chillax EVCS (EVOK) - ChargeMOD</t>
  </si>
  <si>
    <t>Thammanam</t>
  </si>
  <si>
    <t>Evee Buddy - Memaid EVCS - ChargeMOD</t>
  </si>
  <si>
    <t>Broad Bean Hotel (EVOK) - ChargeMOD</t>
  </si>
  <si>
    <t>Vyttila KSEB EVCS - ChargeMOD</t>
  </si>
  <si>
    <t>BYD EVM Southcoast Service Centre - ChargeMOD</t>
  </si>
  <si>
    <t>EVM La Maison Citroen Kochi - ChargeMOD</t>
  </si>
  <si>
    <t>LiON EVCS - ChargeMOD</t>
  </si>
  <si>
    <t>Rajagiri Hospital EVCS - ChargeMOD</t>
  </si>
  <si>
    <t>Raos EVCS - ChargeMOD</t>
  </si>
  <si>
    <t>Thrippunithara</t>
  </si>
  <si>
    <t>PPG Home EVCS - ChargeMOD</t>
  </si>
  <si>
    <t>Hound Mobility EVCS | Kakkanad</t>
  </si>
  <si>
    <t>Wonderla - Statiq</t>
  </si>
  <si>
    <t>Pallikkara</t>
  </si>
  <si>
    <t>Matha DC EVCS - ChargeMOD</t>
  </si>
  <si>
    <t>Hotel Oottupura (EVOK) - ChargeMOD</t>
  </si>
  <si>
    <t>Renvolt (EVOK) - ChargeMOD</t>
  </si>
  <si>
    <t>Kothamangalam KSEB EVCS - ChargeMOD</t>
  </si>
  <si>
    <t>GATR PowerFin EVCS - ChargeMOD</t>
  </si>
  <si>
    <t>Muvattupuzha</t>
  </si>
  <si>
    <t>PlugMap EVCS by Evan and Eyan</t>
  </si>
  <si>
    <t>Moovattupuzha</t>
  </si>
  <si>
    <t>Kabani International (EVOK) - ChargeMOD</t>
  </si>
  <si>
    <t>Pineapple City EVCS - ChargeMOD</t>
  </si>
  <si>
    <t>Thodupuzha</t>
  </si>
  <si>
    <t>Hotel Woodlands - ChargeMOD</t>
  </si>
  <si>
    <t>Thodupuzha KSEB EVCS - ChargeMOD</t>
  </si>
  <si>
    <t>EQ EV Nest - ChargeMOD</t>
  </si>
  <si>
    <t>Karimkunnam</t>
  </si>
  <si>
    <t>Royal EV Charging - ChargeMOD</t>
  </si>
  <si>
    <t>Keraka</t>
  </si>
  <si>
    <t>EQ ChargeMate - ChargeMOD</t>
  </si>
  <si>
    <t>Thalayolaparambu</t>
  </si>
  <si>
    <t>Kumarakom</t>
  </si>
  <si>
    <t>BMW EVM Autokraft Service Center - ChargeMOD</t>
  </si>
  <si>
    <t>Kochuveli</t>
  </si>
  <si>
    <t>ChargeMOD EVCS</t>
  </si>
  <si>
    <t>Emily By JDaniels</t>
  </si>
  <si>
    <t>Poojappura</t>
  </si>
  <si>
    <t>Nuke EVCS - ChargeMOD</t>
  </si>
  <si>
    <t>Sreekaryam</t>
  </si>
  <si>
    <t>Electro Zone EV Fast Charging Station - ChargeMOD</t>
  </si>
  <si>
    <t>Karyavattom</t>
  </si>
  <si>
    <t>Akshaya EV Fast Charging Station - ChargeMOD</t>
  </si>
  <si>
    <t>Kazhakuttom</t>
  </si>
  <si>
    <t>Moolamattom KSEB EVCS - ChargeMOD</t>
  </si>
  <si>
    <t>Moolamattom</t>
  </si>
  <si>
    <t>EQ Vagamon EV Port - ChargeMOD</t>
  </si>
  <si>
    <t>Palm Peats (EVOK) - ChargeMOD</t>
  </si>
  <si>
    <t>Erattupetta</t>
  </si>
  <si>
    <t>Flour Mill (EVOK) - ChargeMOD</t>
  </si>
  <si>
    <t>Jim and Jims EVCS - ChargeMOD</t>
  </si>
  <si>
    <t>Alpha Hangout Play World</t>
  </si>
  <si>
    <t>Gandhi Nagar KSEB EVCS - ChargeMOD</t>
  </si>
  <si>
    <t>Arpookara</t>
  </si>
  <si>
    <t>Indraprastha Hotel (EVOK) - ChargeMOD</t>
  </si>
  <si>
    <t>Charge n Fresh EVCS - ChargeMOD</t>
  </si>
  <si>
    <t>Pallam KSEB EVCS - ChargeMOD</t>
  </si>
  <si>
    <t>Pallom</t>
  </si>
  <si>
    <t>Amma Restaurant</t>
  </si>
  <si>
    <t>Thankamanys EV Fast Charging Station - ChargeMOD</t>
  </si>
  <si>
    <t>Punnapra KSEB EVCS - ChargeMOD</t>
  </si>
  <si>
    <t>Punnapra</t>
  </si>
  <si>
    <t>Pathalil EVCS - Charge MOD</t>
  </si>
  <si>
    <t>Nedumkunnam</t>
  </si>
  <si>
    <t>JJ E Fills - ChargeMOD</t>
  </si>
  <si>
    <t>Wealfro EV Hub</t>
  </si>
  <si>
    <t>Anand Hypermarket - ChargeMOD</t>
  </si>
  <si>
    <t>Iongrid EV Spark - ChargeMOD</t>
  </si>
  <si>
    <t>Edathwa</t>
  </si>
  <si>
    <t>V Charge Hub - ChargeMOD</t>
  </si>
  <si>
    <t>Karuvatta</t>
  </si>
  <si>
    <t>Quick Charge EVCS - ChargeMOD</t>
  </si>
  <si>
    <t>Phills Hub EVCS - ChargeMOD</t>
  </si>
  <si>
    <t>Pamba KSEB EVCS - ChargeMOD</t>
  </si>
  <si>
    <t>Pamba</t>
  </si>
  <si>
    <t>EVOK Pathanamthitta - ChargeMOD</t>
  </si>
  <si>
    <t>Green Plug EVCS - ChargeMOD</t>
  </si>
  <si>
    <t>PTC Arcade - ChargeMOD</t>
  </si>
  <si>
    <t>Muzhangodayil EVCS - ChargeMOD</t>
  </si>
  <si>
    <t>Harippad</t>
  </si>
  <si>
    <t>Askar EV - ChargeMOD</t>
  </si>
  <si>
    <t>Mavelikkara</t>
  </si>
  <si>
    <t>Anaswara Jewellers EVCS - ChargeMOD</t>
  </si>
  <si>
    <t>Konni</t>
  </si>
  <si>
    <t>EQ Power Buzz EVCS - ChargeMOD</t>
  </si>
  <si>
    <t>Paranthal</t>
  </si>
  <si>
    <t>Adhithya Green Power - ChargeMOD</t>
  </si>
  <si>
    <t>SR Auto Zone - ChargeMOD</t>
  </si>
  <si>
    <t>Artemis EV Super Charger - ChargeMOD</t>
  </si>
  <si>
    <t>Royale Regency (EVOK) - ChargeMOD</t>
  </si>
  <si>
    <t>Ochira</t>
  </si>
  <si>
    <t>Delight Launch Cafe - ChargeMOD</t>
  </si>
  <si>
    <t>Ente Veedu Interior (EVOK) - ChargeMOD</t>
  </si>
  <si>
    <t>Thenmala EVOK - ChargeMOD</t>
  </si>
  <si>
    <t>Thenmala</t>
  </si>
  <si>
    <t>Plug N Pay EVCS - ChargeMOD</t>
  </si>
  <si>
    <t>Odanavattom</t>
  </si>
  <si>
    <t>Kundara KSEB - ChargeMOD</t>
  </si>
  <si>
    <t>Sree Suprabhatham - ChargeMOD</t>
  </si>
  <si>
    <t>Bishop Jerome Nagar (EVOK) EVCS - ChargeMOD</t>
  </si>
  <si>
    <t>Chinnakkada</t>
  </si>
  <si>
    <t>VOX Xpress Wash (EVOK) - ChargeMOD</t>
  </si>
  <si>
    <t>EVOK Charging Stattion - ChargeMOD</t>
  </si>
  <si>
    <t>Parippalli</t>
  </si>
  <si>
    <t>Plug N Pay EVCS</t>
  </si>
  <si>
    <t>Kottiyam KSEB EVCS - ChargeMOD</t>
  </si>
  <si>
    <t>Kottiyam</t>
  </si>
  <si>
    <t>Avananchery KSEB EVCS - ChargeMOD</t>
  </si>
  <si>
    <t>Paruthippara KSEB EVCS - ChargeMOD</t>
  </si>
  <si>
    <t>Paruthippara</t>
  </si>
  <si>
    <t>Pattom KSEB EVCS - ChargeMOD</t>
  </si>
  <si>
    <t>Pattom</t>
  </si>
  <si>
    <t>ANERT EESL - Pinarayi Park</t>
  </si>
  <si>
    <t>ANERT EESL - Aahar Restaurant Vadakara</t>
  </si>
  <si>
    <t>Vadakara</t>
  </si>
  <si>
    <t>ANERT EESL - Moosakkutti Memorial Bus Stand</t>
  </si>
  <si>
    <t>ANERT EESL - Kanjirappuzha Garden</t>
  </si>
  <si>
    <t xml:space="preserve">ANERT EESL - KTDC Aahar Restaurant </t>
  </si>
  <si>
    <t>Lerala</t>
  </si>
  <si>
    <t>ANERT EESL - Kulappulli Bus Stand</t>
  </si>
  <si>
    <t>Shornur</t>
  </si>
  <si>
    <t>ANERT EESL - KILA Thrissur</t>
  </si>
  <si>
    <t>ANERT EESL - Chittur Thathamangalam Minicipality</t>
  </si>
  <si>
    <t>ANERT EESL - DTPC Idukki Park</t>
  </si>
  <si>
    <t>ANERT EESL - Ernakulam</t>
  </si>
  <si>
    <t xml:space="preserve">ANERT EESL - Autokast </t>
  </si>
  <si>
    <t>ANERT EESL Milma Diary Plant - EESL</t>
  </si>
  <si>
    <t>ANERT - EESL Sangamukham - EESL</t>
  </si>
  <si>
    <t>Apco Hyundai - ChargeZone</t>
  </si>
  <si>
    <t>Chengala</t>
  </si>
  <si>
    <t>Planned For Future Date</t>
  </si>
  <si>
    <t>Thiruvangoor EV Fast Charging Station - ChargeMOD</t>
  </si>
  <si>
    <t>MB#Bridgeway Motors</t>
  </si>
  <si>
    <t>KVR Hyundai - ChargeZone</t>
  </si>
  <si>
    <t>Grand Hyundai - ChargeZone</t>
  </si>
  <si>
    <t>Kochi Marriot Hotel</t>
  </si>
  <si>
    <t>Le Meridien - ChargeZone</t>
  </si>
  <si>
    <t>MB#Coastal Star</t>
  </si>
  <si>
    <t>GreenVeel</t>
  </si>
  <si>
    <t>GreenVeel - ChargeZone</t>
  </si>
  <si>
    <t>Athirampuzha</t>
  </si>
  <si>
    <t>SS Hyundai</t>
  </si>
  <si>
    <t>GDM Auditorium - ChargeZone</t>
  </si>
  <si>
    <t>Hotel Indraprastha</t>
  </si>
  <si>
    <t>Best EVCS - ChargeMOD</t>
  </si>
  <si>
    <t>Instacharge EV Fast Charging and CafÃ©</t>
  </si>
  <si>
    <t>Chungath Sprise Hyundai - ChargeZone</t>
  </si>
  <si>
    <t>KVE Charge</t>
  </si>
  <si>
    <t>Marvel Paints</t>
  </si>
  <si>
    <t>Raj Residency - Zeon</t>
  </si>
  <si>
    <t>Koodali SCB</t>
  </si>
  <si>
    <t>Co-Operqative Bank - Zeon</t>
  </si>
  <si>
    <t>Kathirur</t>
  </si>
  <si>
    <t>Down Town Mall - Zeon</t>
  </si>
  <si>
    <t>Thalasseri</t>
  </si>
  <si>
    <t>Issacs Centre Square - Zeon</t>
  </si>
  <si>
    <t>Sulthan Batheri</t>
  </si>
  <si>
    <t>Great Trails Wayanad by GRT Hotels</t>
  </si>
  <si>
    <t>Nesto Hypermarket - Zeon</t>
  </si>
  <si>
    <t>HiLite Mall - Zeon</t>
  </si>
  <si>
    <t>HiLite Business Park - Zeon</t>
  </si>
  <si>
    <t>Club Sulaimani - Zeon</t>
  </si>
  <si>
    <t>Nesto Hypermarket Zeon</t>
  </si>
  <si>
    <t>Thirur</t>
  </si>
  <si>
    <t>Emirates Mall - Zeon</t>
  </si>
  <si>
    <t>Edappal</t>
  </si>
  <si>
    <t>Hotel Devaragam</t>
  </si>
  <si>
    <t>Nesto Hypermarket</t>
  </si>
  <si>
    <t>Dream City Convention Center</t>
  </si>
  <si>
    <t>Pattikkad</t>
  </si>
  <si>
    <t>Chennai Ananda Bhavan</t>
  </si>
  <si>
    <t>Hilite Mall</t>
  </si>
  <si>
    <t>Mughal Mall</t>
  </si>
  <si>
    <t>Maxx Inn M Star</t>
  </si>
  <si>
    <t>Club Mahindra Resort - Cherai Beach</t>
  </si>
  <si>
    <t>Cherai</t>
  </si>
  <si>
    <t>Grand Mall</t>
  </si>
  <si>
    <t>Edappalli</t>
  </si>
  <si>
    <t>Gokul Oottupura Restaurant</t>
  </si>
  <si>
    <t>Brunton Boatyard</t>
  </si>
  <si>
    <t>Cochin</t>
  </si>
  <si>
    <t>Casino Hotel</t>
  </si>
  <si>
    <t>Hotel Ganga Grand</t>
  </si>
  <si>
    <t>Eden Wood Resorts</t>
  </si>
  <si>
    <t>Club Mahindra Aleppey Resort</t>
  </si>
  <si>
    <t>Arookutty</t>
  </si>
  <si>
    <t>CGH Marari Beach</t>
  </si>
  <si>
    <t>Mararikulam</t>
  </si>
  <si>
    <t>Cassia Restaurant</t>
  </si>
  <si>
    <t>Hotel Aida</t>
  </si>
  <si>
    <t>A</t>
  </si>
  <si>
    <t>B</t>
  </si>
  <si>
    <t>Data Quality Check</t>
  </si>
  <si>
    <t>Result</t>
  </si>
  <si>
    <t>Total Records</t>
  </si>
  <si>
    <t>Duplicate Station IDs</t>
  </si>
  <si>
    <t>Unknown Cities</t>
  </si>
  <si>
    <t>Unknown States</t>
  </si>
  <si>
    <t>Unknown Operators</t>
  </si>
  <si>
    <t>Latitude/Longitude</t>
  </si>
  <si>
    <t>Available</t>
  </si>
  <si>
    <t>Status Categories</t>
  </si>
  <si>
    <t>Operational_Flag</t>
  </si>
  <si>
    <t>Active_Charging_Points</t>
  </si>
  <si>
    <t>Metric</t>
  </si>
  <si>
    <t>Value</t>
  </si>
  <si>
    <t>Total Charging Stations</t>
  </si>
  <si>
    <t>Total Charging Points</t>
  </si>
  <si>
    <t>Active Charging Points</t>
  </si>
  <si>
    <t>Operational Stations</t>
  </si>
  <si>
    <t>Operational Rate(%)</t>
  </si>
  <si>
    <t>Status Distribution</t>
  </si>
  <si>
    <t xml:space="preserve">Status </t>
  </si>
  <si>
    <t>Status Count</t>
  </si>
  <si>
    <t>Partly Operational(Mixed)</t>
  </si>
  <si>
    <t>Total</t>
  </si>
  <si>
    <t xml:space="preserve">Total Charging Points </t>
  </si>
  <si>
    <t>Row Labels</t>
  </si>
  <si>
    <t>Grand Total</t>
  </si>
  <si>
    <t>Sum of charging_points</t>
  </si>
  <si>
    <t>Operational Charging Point Rate (%)</t>
  </si>
  <si>
    <t>Non-Operational Charging Points</t>
  </si>
  <si>
    <t>Average Charging Points per Station</t>
  </si>
  <si>
    <t>Maximum Charging Points at One Station</t>
  </si>
  <si>
    <t>Median Charging Points per Station</t>
  </si>
  <si>
    <t>Minimum Charging Points per Station</t>
  </si>
  <si>
    <t>Standard Deviation of Charging Points</t>
  </si>
  <si>
    <t>Clean_State</t>
  </si>
  <si>
    <t>State-wise EV Charging Infrastructure Analysis</t>
  </si>
  <si>
    <t>Kerala and Odisha have the highest number of charging points in the dataset.</t>
  </si>
  <si>
    <t>Most other states have substantially fewer charging points, showing an uneven distribution of charging infrastructure.</t>
  </si>
  <si>
    <t>This analysis is based on the 1,000 charging stations in the project dataset.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</si>
</sst>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  <font>
      <b/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164" fontId="2" fillId="0" borderId="0" xfId="1" applyNumberFormat="1" applyFont="1"/>
    <xf numFmtId="0" fontId="0" fillId="0" borderId="0" xfId="0" pivotButton="1"/>
    <xf numFmtId="0" fontId="0" fillId="0" borderId="0" xfId="0" applyAlignment="1">
      <alignment horizontal="left"/>
    </xf>
    <xf numFmtId="0" fontId="3" fillId="0" borderId="0" xfId="0" applyFont="1"/>
    <xf numFmtId="164" fontId="3" fillId="0" borderId="0" xfId="1" applyNumberFormat="1" applyFont="1" applyAlignment="1">
      <alignment vertical="center"/>
    </xf>
    <xf numFmtId="2" fontId="0" fillId="0" borderId="0" xfId="0" applyNumberFormat="1"/>
    <xf numFmtId="0" fontId="3" fillId="0" borderId="0" xfId="0" applyFont="1" applyAlignment="1">
      <alignment wrapText="1"/>
    </xf>
  </cellXfs>
  <cellStyles count="2">
    <cellStyle name="Normal" xfId="0" builtinId="0"/>
    <cellStyle name="Percent" xfId="1" builtinId="5"/>
  </cellStyles>
  <dxfs count="5"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[ev_charging_stations_india_1.xlsx]Pivot_Table!PivotTable1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State-wise</a:t>
            </a:r>
            <a:r>
              <a:rPr lang="en-US" baseline="0"/>
              <a:t> EV Charging Infrastructure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Pivot_Table!$B$2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Pivot_Table!$A$3:$A$21</c:f>
              <c:strCache>
                <c:ptCount val="18"/>
                <c:pt idx="0">
                  <c:v>Kerala</c:v>
                </c:pt>
                <c:pt idx="1">
                  <c:v>Odisha</c:v>
                </c:pt>
                <c:pt idx="2">
                  <c:v>Tamil Nadu</c:v>
                </c:pt>
                <c:pt idx="3">
                  <c:v>Uttar Pradesh</c:v>
                </c:pt>
                <c:pt idx="4">
                  <c:v>Rajasthan</c:v>
                </c:pt>
                <c:pt idx="5">
                  <c:v>Uttarakhand</c:v>
                </c:pt>
                <c:pt idx="6">
                  <c:v>Telangana</c:v>
                </c:pt>
                <c:pt idx="7">
                  <c:v>Gujarat</c:v>
                </c:pt>
                <c:pt idx="8">
                  <c:v>Madhya Pradesh</c:v>
                </c:pt>
                <c:pt idx="9">
                  <c:v>Unknown</c:v>
                </c:pt>
                <c:pt idx="10">
                  <c:v>Maharashtra</c:v>
                </c:pt>
                <c:pt idx="11">
                  <c:v>Karnataka</c:v>
                </c:pt>
                <c:pt idx="12">
                  <c:v>West Bengal</c:v>
                </c:pt>
                <c:pt idx="13">
                  <c:v>Jharkhand</c:v>
                </c:pt>
                <c:pt idx="14">
                  <c:v>Haryana</c:v>
                </c:pt>
                <c:pt idx="15">
                  <c:v>Himachal Pradesh</c:v>
                </c:pt>
                <c:pt idx="16">
                  <c:v>New Dehi</c:v>
                </c:pt>
                <c:pt idx="17">
                  <c:v>Assam</c:v>
                </c:pt>
              </c:strCache>
            </c:strRef>
          </c:cat>
          <c:val>
            <c:numRef>
              <c:f>Pivot_Table!$B$3:$B$21</c:f>
              <c:numCache>
                <c:formatCode>General</c:formatCode>
                <c:ptCount val="18"/>
                <c:pt idx="0">
                  <c:v>1135</c:v>
                </c:pt>
                <c:pt idx="1">
                  <c:v>1041</c:v>
                </c:pt>
                <c:pt idx="2">
                  <c:v>52</c:v>
                </c:pt>
                <c:pt idx="3">
                  <c:v>25</c:v>
                </c:pt>
                <c:pt idx="4">
                  <c:v>23</c:v>
                </c:pt>
                <c:pt idx="5">
                  <c:v>15</c:v>
                </c:pt>
                <c:pt idx="6">
                  <c:v>13</c:v>
                </c:pt>
                <c:pt idx="7">
                  <c:v>12</c:v>
                </c:pt>
                <c:pt idx="8">
                  <c:v>12</c:v>
                </c:pt>
                <c:pt idx="9">
                  <c:v>11</c:v>
                </c:pt>
                <c:pt idx="10">
                  <c:v>8</c:v>
                </c:pt>
                <c:pt idx="11">
                  <c:v>7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1</c:v>
                </c:pt>
                <c:pt idx="17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DDC-4554-80B4-2BE1A4893B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35620575"/>
        <c:axId val="1824218639"/>
      </c:barChart>
      <c:catAx>
        <c:axId val="13562057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4218639"/>
        <c:crosses val="autoZero"/>
        <c:auto val="1"/>
        <c:lblAlgn val="ctr"/>
        <c:lblOffset val="100"/>
        <c:noMultiLvlLbl val="0"/>
      </c:catAx>
      <c:valAx>
        <c:axId val="18242186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6205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115957</xdr:colOff>
      <xdr:row>14</xdr:row>
      <xdr:rowOff>61292</xdr:rowOff>
    </xdr:from>
    <xdr:to>
      <xdr:col>8</xdr:col>
      <xdr:colOff>430696</xdr:colOff>
      <xdr:row>29</xdr:row>
      <xdr:rowOff>71231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BCCF944-83DA-94B3-93FF-080153C9142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riyam" refreshedDate="46292.98491712963" createdVersion="8" refreshedVersion="8" minRefreshableVersion="3" recordCount="1000" xr:uid="{1D12ABB3-54E1-4C5B-8BFD-6A8E6AC777F5}">
  <cacheSource type="worksheet">
    <worksheetSource name="tbl_ChargingStation"/>
  </cacheSource>
  <cacheFields count="13">
    <cacheField name="station_id" numFmtId="0">
      <sharedItems containsSemiMixedTypes="0" containsString="0" containsNumber="1" containsInteger="1" minValue="313438" maxValue="479727"/>
    </cacheField>
    <cacheField name="station_name" numFmtId="0">
      <sharedItems/>
    </cacheField>
    <cacheField name="city" numFmtId="0">
      <sharedItems/>
    </cacheField>
    <cacheField name="state" numFmtId="0">
      <sharedItems/>
    </cacheField>
    <cacheField name="country" numFmtId="0">
      <sharedItems/>
    </cacheField>
    <cacheField name="latitude" numFmtId="0">
      <sharedItems containsSemiMixedTypes="0" containsString="0" containsNumber="1" minValue="8.1945029070000004" maxValue="32.214505389999999"/>
    </cacheField>
    <cacheField name="longitude" numFmtId="0">
      <sharedItems containsSemiMixedTypes="0" containsString="0" containsNumber="1" minValue="72.908046170000006" maxValue="91.851200000000006"/>
    </cacheField>
    <cacheField name="charging_points" numFmtId="0">
      <sharedItems containsSemiMixedTypes="0" containsString="0" containsNumber="1" containsInteger="1" minValue="1" maxValue="600"/>
    </cacheField>
    <cacheField name="status" numFmtId="0">
      <sharedItems/>
    </cacheField>
    <cacheField name="operator" numFmtId="0">
      <sharedItems/>
    </cacheField>
    <cacheField name="Operational_Flag" numFmtId="0">
      <sharedItems containsSemiMixedTypes="0" containsString="0" containsNumber="1" containsInteger="1" minValue="0" maxValue="1"/>
    </cacheField>
    <cacheField name="Active_Charging_Points" numFmtId="0">
      <sharedItems containsSemiMixedTypes="0" containsString="0" containsNumber="1" containsInteger="1" minValue="0" maxValue="600"/>
    </cacheField>
    <cacheField name="Clean_State" numFmtId="0">
      <sharedItems count="20">
        <s v="Odisha"/>
        <s v="Kerala"/>
        <s v="Uttar Pradesh"/>
        <s v="Telangana"/>
        <s v="Tamil Nadu"/>
        <s v="Rajasthan"/>
        <s v="Unknown"/>
        <s v="Haryana"/>
        <s v="Gujarat"/>
        <s v="Himachal Pradesh"/>
        <s v="Maharashtra"/>
        <s v="Karnataka"/>
        <s v="Madhya Pradesh"/>
        <s v="Uttarakhand"/>
        <s v="Assam"/>
        <s v="New Dehi"/>
        <s v="West Bengal"/>
        <s v="Jharkhand"/>
        <s v="Keraka" u="1"/>
        <s v="Uttarakhnad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n v="479330"/>
    <s v="Electric Vehicle Charging Station"/>
    <s v="Unknown"/>
    <s v="Odisha"/>
    <s v="India"/>
    <n v="21.0161093"/>
    <n v="81.702900499999998"/>
    <n v="600"/>
    <s v="Operational"/>
    <s v="Unknown"/>
    <n v="1"/>
    <n v="600"/>
    <x v="0"/>
  </r>
  <r>
    <n v="479230"/>
    <s v="Electric Vehicle Charging Station"/>
    <s v="Unknown"/>
    <s v="Odisha"/>
    <s v="India"/>
    <n v="20.088792399999999"/>
    <n v="82.362104900000006"/>
    <n v="11"/>
    <s v="Operational"/>
    <s v="Unknown"/>
    <n v="1"/>
    <n v="11"/>
    <x v="0"/>
  </r>
  <r>
    <n v="479140"/>
    <s v="Electric Vehicle Charging Station"/>
    <s v="Unknown"/>
    <s v="Odisha"/>
    <s v="India"/>
    <n v="20.088792399999999"/>
    <n v="82.362104900000006"/>
    <n v="11"/>
    <s v="Operational"/>
    <s v="Unknown"/>
    <n v="1"/>
    <n v="11"/>
    <x v="0"/>
  </r>
  <r>
    <n v="313915"/>
    <s v="Lulu International Mall EVCS - GO EC"/>
    <s v="Thiruvananthapuram"/>
    <s v="Kerala"/>
    <s v="India"/>
    <n v="8.515262882"/>
    <n v="76.898158440000003"/>
    <n v="11"/>
    <s v="Operational"/>
    <s v="GO EC (IN)"/>
    <n v="1"/>
    <n v="11"/>
    <x v="1"/>
  </r>
  <r>
    <n v="313702"/>
    <s v="Kulappully KSEB EVCS - ChargeMOD"/>
    <s v="Kulappully"/>
    <s v="Kerala"/>
    <s v="India"/>
    <n v="10.77974601"/>
    <n v="76.28528086"/>
    <n v="9"/>
    <s v="Operational"/>
    <s v="ChargeMod (IN)"/>
    <n v="1"/>
    <n v="9"/>
    <x v="1"/>
  </r>
  <r>
    <n v="479257"/>
    <s v="Kazam Charging Station"/>
    <s v="Unknown"/>
    <s v="Odisha"/>
    <s v="India"/>
    <n v="20.253022300000001"/>
    <n v="85.6869698"/>
    <n v="7"/>
    <s v="Operational"/>
    <s v="Unknown"/>
    <n v="1"/>
    <n v="7"/>
    <x v="0"/>
  </r>
  <r>
    <n v="475660"/>
    <s v="Bundelkhand Expressway 188 Km Rest Area"/>
    <s v="Unknown"/>
    <s v="Uttar Pradesh"/>
    <s v="India"/>
    <n v="26.336942459999999"/>
    <n v="79.370072550000003"/>
    <n v="7"/>
    <s v="Operational"/>
    <s v="Adani Gas-EV (TR)"/>
    <n v="1"/>
    <n v="7"/>
    <x v="2"/>
  </r>
  <r>
    <n v="313861"/>
    <s v="Daffodils EVCS - GO EC"/>
    <s v="Edapally"/>
    <s v="Kerala"/>
    <s v="India"/>
    <n v="10.03211451"/>
    <n v="76.322960460000004"/>
    <n v="7"/>
    <s v="Operational"/>
    <s v="GO EC (IN)"/>
    <n v="1"/>
    <n v="7"/>
    <x v="1"/>
  </r>
  <r>
    <n v="313754"/>
    <s v="Kanhangad KSEB EVCS - ChangeMOD"/>
    <s v="Kanhangad"/>
    <s v="Kerala"/>
    <s v="India"/>
    <n v="12.342505490000001"/>
    <n v="75.112663670000003"/>
    <n v="7"/>
    <s v="Operational"/>
    <s v="ChargeMod (IN)"/>
    <n v="1"/>
    <n v="7"/>
    <x v="1"/>
  </r>
  <r>
    <n v="313574"/>
    <s v="Quick Charge EVCS - ChargeMOD"/>
    <s v="Karuvatta"/>
    <s v="Kerala"/>
    <s v="India"/>
    <n v="9.315750049"/>
    <n v="76.401221199999995"/>
    <n v="7"/>
    <s v="Operational"/>
    <s v="ChargeMod (IN)"/>
    <n v="1"/>
    <n v="7"/>
    <x v="1"/>
  </r>
  <r>
    <n v="475659"/>
    <s v="Bundelkhand Expressway Chitrakoot Toll"/>
    <s v="Unknown"/>
    <s v="Uttar Pradesh"/>
    <s v="India"/>
    <n v="25.252444560000001"/>
    <n v="80.743644189999998"/>
    <n v="6"/>
    <s v="Operational"/>
    <s v="Adani Gas-EV (TR)"/>
    <n v="1"/>
    <n v="6"/>
    <x v="2"/>
  </r>
  <r>
    <n v="475512"/>
    <s v="NH44"/>
    <s v="Unknown"/>
    <s v="Telangana"/>
    <s v="India"/>
    <n v="15.88633415"/>
    <n v="78.016366390000002"/>
    <n v="6"/>
    <s v="Operational"/>
    <s v="Chargezone (India)"/>
    <n v="1"/>
    <n v="6"/>
    <x v="3"/>
  </r>
  <r>
    <n v="471003"/>
    <s v="160kW GREEN ENERGY EV CHARGING STATION"/>
    <s v="Changanassery"/>
    <s v="Kerala"/>
    <s v="India"/>
    <n v="9.4374421720000008"/>
    <n v="76.542009199999995"/>
    <n v="6"/>
    <s v="Operational"/>
    <s v="Unknown"/>
    <n v="1"/>
    <n v="6"/>
    <x v="1"/>
  </r>
  <r>
    <n v="313914"/>
    <s v="Trivandrum UST Campus EVCS - GO EC"/>
    <s v="Thiruvananthapuram"/>
    <s v="Kerala"/>
    <s v="India"/>
    <n v="8.5399930479999995"/>
    <n v="76.884424999999993"/>
    <n v="6"/>
    <s v="Operational"/>
    <s v="GO EC (IN)"/>
    <n v="1"/>
    <n v="6"/>
    <x v="1"/>
  </r>
  <r>
    <n v="313749"/>
    <s v="Manjapalam KSEB EVCS - ChargeMOD"/>
    <s v="Kannur"/>
    <s v="Kerala"/>
    <s v="India"/>
    <n v="11.87836828"/>
    <n v="75.359526149999994"/>
    <n v="6"/>
    <s v="Operational"/>
    <s v="ChargeMod (IN)"/>
    <n v="1"/>
    <n v="6"/>
    <x v="1"/>
  </r>
  <r>
    <n v="313743"/>
    <s v="Banasura Sagar KSEB EVCS - ChargeMOD"/>
    <s v="Padinjarathara"/>
    <s v="Kerala"/>
    <s v="India"/>
    <n v="11.67292398"/>
    <n v="75.957305809999994"/>
    <n v="6"/>
    <s v="Operational"/>
    <s v="ChargeMod (IN)"/>
    <n v="1"/>
    <n v="6"/>
    <x v="1"/>
  </r>
  <r>
    <n v="313737"/>
    <s v="Vythiri KSEB EVCS - ChargeMOD"/>
    <s v="Vythiri"/>
    <s v="Kerala"/>
    <s v="India"/>
    <n v="11.54575372"/>
    <n v="76.039371930000001"/>
    <n v="6"/>
    <s v="Operational"/>
    <s v="ChargeMod (IN)"/>
    <n v="1"/>
    <n v="6"/>
    <x v="1"/>
  </r>
  <r>
    <n v="313736"/>
    <s v="Thamarassery KESEB EVCS - ChargeMOD"/>
    <s v="Thamarassery"/>
    <s v="Kerala"/>
    <s v="India"/>
    <n v="11.44408743"/>
    <n v="75.955876910000001"/>
    <n v="6"/>
    <s v="Operational"/>
    <s v="ChargeMod (IN)"/>
    <n v="1"/>
    <n v="6"/>
    <x v="1"/>
  </r>
  <r>
    <n v="313735"/>
    <s v="Locus EVCS - ChargeMOD"/>
    <s v="Koduvally"/>
    <s v="Kerala"/>
    <s v="India"/>
    <n v="11.339683839999999"/>
    <n v="75.898715690000003"/>
    <n v="6"/>
    <s v="Operational"/>
    <s v="ChargeMod (IN)"/>
    <n v="1"/>
    <n v="6"/>
    <x v="1"/>
  </r>
  <r>
    <n v="313727"/>
    <s v="Pavangad KSEB EVCS - ChargeMOD"/>
    <s v="Pavangad"/>
    <s v="Kerala"/>
    <s v="India"/>
    <n v="11.312411620000001"/>
    <n v="75.75859063"/>
    <n v="6"/>
    <s v="Operational"/>
    <s v="ChargeMod (IN)"/>
    <n v="1"/>
    <n v="6"/>
    <x v="1"/>
  </r>
  <r>
    <n v="313716"/>
    <s v="Malappuram KSEB EVCS - ChargeMOD"/>
    <s v="Munduparamba"/>
    <s v="Kerala"/>
    <s v="India"/>
    <n v="11.054224530000001"/>
    <n v="76.092143019999995"/>
    <n v="6"/>
    <s v="Operational"/>
    <s v="ChargeMod (IN)"/>
    <n v="1"/>
    <n v="6"/>
    <x v="1"/>
  </r>
  <r>
    <n v="313694"/>
    <s v="Ponnani KSEB EVCS - ChargeMOD"/>
    <s v="Ponnani"/>
    <s v="Kerala"/>
    <s v="India"/>
    <n v="10.77270263"/>
    <n v="75.947151500000004"/>
    <n v="6"/>
    <s v="Operational"/>
    <s v="ChargeMod (IN)"/>
    <n v="1"/>
    <n v="6"/>
    <x v="1"/>
  </r>
  <r>
    <n v="313682"/>
    <s v="Vydyuthi Bhavan KSEB EVCS - ChargeMOD"/>
    <s v="Thrissur"/>
    <s v="Kerala"/>
    <s v="India"/>
    <n v="10.52779471"/>
    <n v="76.205343850000006"/>
    <n v="6"/>
    <s v="Operational"/>
    <s v="ChargeMod (IN)"/>
    <n v="1"/>
    <n v="6"/>
    <x v="1"/>
  </r>
  <r>
    <n v="313673"/>
    <s v="Valappad KSEB EVCS - ChargeMOD"/>
    <s v="Valappad"/>
    <s v="Kerala"/>
    <s v="India"/>
    <n v="10.40173221"/>
    <n v="76.119335120000002"/>
    <n v="6"/>
    <s v="Operational"/>
    <s v="ChargeMod (IN)"/>
    <n v="1"/>
    <n v="6"/>
    <x v="1"/>
  </r>
  <r>
    <n v="313667"/>
    <s v="Vadakkenchery KSEB EVCS - ChargeMOD"/>
    <s v="Vadakkenchery"/>
    <s v="Kerala"/>
    <s v="India"/>
    <n v="10.597238170000001"/>
    <n v="76.479849369999997"/>
    <n v="6"/>
    <s v="Operational"/>
    <s v="ChargeMod (IN)"/>
    <n v="1"/>
    <n v="6"/>
    <x v="1"/>
  </r>
  <r>
    <n v="313646"/>
    <s v="ChargeMOD EVCS Hub"/>
    <s v="Nedumbassery"/>
    <s v="Kerala"/>
    <s v="India"/>
    <n v="10.1695516"/>
    <n v="76.372255609999996"/>
    <n v="6"/>
    <s v="Operational"/>
    <s v="ChargeMod (IN)"/>
    <n v="1"/>
    <n v="6"/>
    <x v="1"/>
  </r>
  <r>
    <n v="313635"/>
    <s v="Kalamassery KSEB EVCS - ChargeMOD"/>
    <s v="Kalamassery"/>
    <s v="Kerala"/>
    <s v="India"/>
    <n v="10.053770030000001"/>
    <n v="76.33086763"/>
    <n v="6"/>
    <s v="Operational"/>
    <s v="ChargeMod (IN)"/>
    <n v="1"/>
    <n v="6"/>
    <x v="1"/>
  </r>
  <r>
    <n v="313632"/>
    <s v="Kaloor KSEB EVCS - ChargeMOD"/>
    <s v="Kaloor"/>
    <s v="Kerala"/>
    <s v="India"/>
    <n v="10.000241040000001"/>
    <n v="76.298429819999996"/>
    <n v="6"/>
    <s v="Operational"/>
    <s v="ChargeMod (IN)"/>
    <n v="1"/>
    <n v="6"/>
    <x v="1"/>
  </r>
  <r>
    <n v="313631"/>
    <s v="Gandhinagar KSEB EVCS - ChargeMOD"/>
    <s v="Kochi"/>
    <s v="Kerala"/>
    <s v="India"/>
    <n v="9.9741925299999998"/>
    <n v="76.293681699999993"/>
    <n v="6"/>
    <s v="Operational"/>
    <s v="ChargeMod (IN)"/>
    <n v="1"/>
    <n v="6"/>
    <x v="1"/>
  </r>
  <r>
    <n v="313627"/>
    <s v="Vyttila KSEB EVCS - ChargeMOD"/>
    <s v="Vyttila"/>
    <s v="Keral"/>
    <s v="India"/>
    <n v="9.9629019630000002"/>
    <n v="76.319220709999996"/>
    <n v="6"/>
    <s v="Operational"/>
    <s v="ChargeMod (IN)"/>
    <n v="1"/>
    <n v="6"/>
    <x v="1"/>
  </r>
  <r>
    <n v="313615"/>
    <s v="Kothamangalam KSEB EVCS - ChargeMOD"/>
    <s v="Kothamangalam"/>
    <s v="Kerala"/>
    <s v="India"/>
    <n v="10.05398054"/>
    <n v="76.615384199999994"/>
    <n v="6"/>
    <s v="Operational"/>
    <s v="ChargeMod (IN)"/>
    <n v="1"/>
    <n v="6"/>
    <x v="1"/>
  </r>
  <r>
    <n v="313609"/>
    <s v="Thodupuzha KSEB EVCS - ChargeMOD"/>
    <s v="Thodupuzha"/>
    <s v="Kerala"/>
    <s v="India"/>
    <n v="9.8921234719999998"/>
    <n v="76.708530530000004"/>
    <n v="6"/>
    <s v="Operational"/>
    <s v="ChargeMod (IN)"/>
    <n v="1"/>
    <n v="6"/>
    <x v="1"/>
  </r>
  <r>
    <n v="313594"/>
    <s v="Moolamattom KSEB EVCS - ChargeMOD"/>
    <s v="Moolamattom"/>
    <s v="Kerala"/>
    <s v="India"/>
    <n v="9.7891702219999992"/>
    <n v="76.853856890000003"/>
    <n v="6"/>
    <s v="Operational"/>
    <s v="ChargeMod (IN)"/>
    <n v="1"/>
    <n v="6"/>
    <x v="1"/>
  </r>
  <r>
    <n v="313584"/>
    <s v="Pallam KSEB EVCS - ChargeMOD"/>
    <s v="Pallom"/>
    <s v="Kerala"/>
    <s v="India"/>
    <n v="9.5430649069999998"/>
    <n v="76.514231330000001"/>
    <n v="6"/>
    <s v="Operational"/>
    <s v="ChargeMod (IN)"/>
    <n v="1"/>
    <n v="6"/>
    <x v="1"/>
  </r>
  <r>
    <n v="313567"/>
    <s v="Pamba KSEB EVCS - ChargeMOD"/>
    <s v="Pamba"/>
    <s v="Kerala"/>
    <s v="India"/>
    <n v="9.4123781189999995"/>
    <n v="77.069968560000007"/>
    <n v="6"/>
    <s v="Operational"/>
    <s v="ChargeMod (IN)"/>
    <n v="1"/>
    <n v="6"/>
    <x v="1"/>
  </r>
  <r>
    <n v="313539"/>
    <s v="Kundara KSEB - ChargeMOD"/>
    <s v="Kundara"/>
    <s v="Kerala"/>
    <s v="India"/>
    <n v="8.9571858580000008"/>
    <n v="76.671336530000005"/>
    <n v="6"/>
    <s v="Operational"/>
    <s v="ChargeMod (IN)"/>
    <n v="1"/>
    <n v="6"/>
    <x v="1"/>
  </r>
  <r>
    <n v="313533"/>
    <s v="Kottiyam KSEB EVCS - ChargeMOD"/>
    <s v="Kottiyam"/>
    <s v="Kerala"/>
    <s v="India"/>
    <n v="8.8663700950000006"/>
    <n v="76.668877809999998"/>
    <n v="6"/>
    <s v="Temporarily Unavailable"/>
    <s v="ChargeMod (IN)"/>
    <n v="0"/>
    <n v="0"/>
    <x v="1"/>
  </r>
  <r>
    <n v="313532"/>
    <s v="Avananchery KSEB EVCS - ChargeMOD"/>
    <s v="Attingal"/>
    <s v="Kerala"/>
    <s v="India"/>
    <n v="8.6909877640000008"/>
    <n v="76.848397790000007"/>
    <n v="6"/>
    <s v="Operational"/>
    <s v="ChargeMod (IN)"/>
    <n v="1"/>
    <n v="6"/>
    <x v="1"/>
  </r>
  <r>
    <n v="313531"/>
    <s v="Paruthippara KSEB EVCS - ChargeMOD"/>
    <s v="Paruthippara"/>
    <s v="Kerala"/>
    <s v="India"/>
    <n v="8.5349338410000009"/>
    <n v="76.941984259999998"/>
    <n v="6"/>
    <s v="Operational"/>
    <s v="ChargeMod (IN)"/>
    <n v="1"/>
    <n v="6"/>
    <x v="1"/>
  </r>
  <r>
    <n v="313530"/>
    <s v="Pattom KSEB EVCS - ChargeMOD"/>
    <s v="Pattom"/>
    <s v="Kerala"/>
    <s v="India"/>
    <n v="8.5167535270000005"/>
    <n v="76.939688180000005"/>
    <n v="6"/>
    <s v="Operational"/>
    <s v="ChargeMod (IN)"/>
    <n v="1"/>
    <n v="6"/>
    <x v="1"/>
  </r>
  <r>
    <n v="479280"/>
    <s v="Adani Charging Station"/>
    <s v="Unknown"/>
    <s v="Odisha"/>
    <s v="India"/>
    <n v="20.357017899999999"/>
    <n v="85.888820300000006"/>
    <n v="5"/>
    <s v="Operational"/>
    <s v="Unknown"/>
    <n v="1"/>
    <n v="5"/>
    <x v="0"/>
  </r>
  <r>
    <n v="478890"/>
    <s v="Lulu Mall EVCS"/>
    <s v="Govindapuram"/>
    <s v="Kerala"/>
    <s v="India"/>
    <n v="11.24085462"/>
    <n v="75.802698520000007"/>
    <n v="5"/>
    <s v="Operational"/>
    <s v="GO EC (IN)"/>
    <n v="1"/>
    <n v="5"/>
    <x v="1"/>
  </r>
  <r>
    <n v="478866"/>
    <s v="Indus EV Charging"/>
    <s v="Nileshwaram"/>
    <s v="Kerala"/>
    <s v="India"/>
    <n v="12.25915661"/>
    <n v="75.150529879999993"/>
    <n v="5"/>
    <s v="Operational"/>
    <s v="Chargezone (India)"/>
    <n v="1"/>
    <n v="5"/>
    <x v="1"/>
  </r>
  <r>
    <n v="313952"/>
    <s v="Gokulam Galleria Mall - Tata Power"/>
    <s v="Kozhikode"/>
    <s v="Kerala"/>
    <s v="India"/>
    <n v="11.258465129999999"/>
    <n v="75.792906119999998"/>
    <n v="5"/>
    <s v="Operational"/>
    <s v="Tata Power"/>
    <n v="1"/>
    <n v="5"/>
    <x v="1"/>
  </r>
  <r>
    <n v="313869"/>
    <s v="Central Talkies EVCS - GO EC"/>
    <s v="Thrippunithura"/>
    <s v="Kerala"/>
    <s v="India"/>
    <n v="9.948953178"/>
    <n v="76.347710919999997"/>
    <n v="5"/>
    <s v="Operational"/>
    <s v="GO EC (IN)"/>
    <n v="1"/>
    <n v="5"/>
    <x v="1"/>
  </r>
  <r>
    <n v="313857"/>
    <s v="Future Clock EVCS - GO EC"/>
    <s v="Perumbavoor"/>
    <s v="Kerala"/>
    <s v="India"/>
    <n v="10.089873280000001"/>
    <n v="76.497670339999999"/>
    <n v="5"/>
    <s v="Operational"/>
    <s v="GO EC (IN)"/>
    <n v="1"/>
    <n v="5"/>
    <x v="1"/>
  </r>
  <r>
    <n v="313719"/>
    <s v="Tirur KSEB EVCS - ChargeMOD"/>
    <s v="Tirur"/>
    <s v="Kerala"/>
    <s v="India"/>
    <n v="10.91624728"/>
    <n v="75.918286539999997"/>
    <n v="5"/>
    <s v="Operational"/>
    <s v="ChargeMod (IN)"/>
    <n v="1"/>
    <n v="5"/>
    <x v="1"/>
  </r>
  <r>
    <n v="313640"/>
    <s v="North Paravoor KSEB EVCS - ChargeMOD"/>
    <s v="North Paravoor"/>
    <s v="Kerala"/>
    <s v="India"/>
    <n v="10.14563298"/>
    <n v="76.256903809999997"/>
    <n v="5"/>
    <s v="Operational"/>
    <s v="ChargeMod (IN)"/>
    <n v="1"/>
    <n v="5"/>
    <x v="1"/>
  </r>
  <r>
    <n v="313619"/>
    <s v="Wonderla - Statiq"/>
    <s v="Pallikkara"/>
    <s v="Kerala"/>
    <s v="India"/>
    <n v="10.02602207"/>
    <n v="76.391995969999996"/>
    <n v="5"/>
    <s v="Operational"/>
    <s v="Statiq (IN)"/>
    <n v="1"/>
    <n v="5"/>
    <x v="1"/>
  </r>
  <r>
    <n v="313587"/>
    <s v="Gandhi Nagar KSEB EVCS - ChargeMOD"/>
    <s v="Arpookara"/>
    <s v="Kerala"/>
    <s v="India"/>
    <n v="9.6326842090000007"/>
    <n v="76.524401699999999"/>
    <n v="5"/>
    <s v="Operational"/>
    <s v="ChargeMod (IN)"/>
    <n v="1"/>
    <n v="5"/>
    <x v="1"/>
  </r>
  <r>
    <n v="313581"/>
    <s v="Punnapra KSEB EVCS - ChargeMOD"/>
    <s v="Punnapra"/>
    <s v="Kerala"/>
    <s v="India"/>
    <n v="9.4256169029999999"/>
    <n v="76.346772639999998"/>
    <n v="5"/>
    <s v="Operational"/>
    <s v="ChargeMod (IN)"/>
    <n v="1"/>
    <n v="5"/>
    <x v="1"/>
  </r>
  <r>
    <n v="313452"/>
    <s v="Hilite Mall"/>
    <s v="Thrissur"/>
    <s v="Kerala"/>
    <s v="India"/>
    <n v="10.49548871"/>
    <n v="76.256802530000002"/>
    <n v="5"/>
    <s v="Operational"/>
    <s v="Zeon Charging"/>
    <n v="1"/>
    <n v="5"/>
    <x v="1"/>
  </r>
  <r>
    <n v="479393"/>
    <s v="Tata Power Charging Station"/>
    <s v="Unknown"/>
    <s v="Odisha"/>
    <s v="India"/>
    <n v="21.501024900000001"/>
    <n v="83.891313100000005"/>
    <n v="4"/>
    <s v="Operational"/>
    <s v="Unknown"/>
    <n v="1"/>
    <n v="4"/>
    <x v="0"/>
  </r>
  <r>
    <n v="478888"/>
    <s v="Iris Mall EVCS"/>
    <s v="Balusseri"/>
    <s v="Kerala"/>
    <s v="India"/>
    <n v="11.44624844"/>
    <n v="75.833079690000005"/>
    <n v="4"/>
    <s v="Operational"/>
    <s v="GO EC (IN)"/>
    <n v="1"/>
    <n v="4"/>
    <x v="1"/>
  </r>
  <r>
    <n v="478881"/>
    <s v="Pondur - Oragadam"/>
    <s v="Sriperumbudur"/>
    <s v="Tamil Nadu"/>
    <s v="India"/>
    <n v="12.927433990000001"/>
    <n v="79.934162229999998"/>
    <n v="4"/>
    <s v="Operational"/>
    <s v="Chargezone (India)"/>
    <n v="1"/>
    <n v="4"/>
    <x v="4"/>
  </r>
  <r>
    <n v="478878"/>
    <s v="Sugam Hospitality"/>
    <s v="Arasur"/>
    <s v="Tamil Nadu"/>
    <s v="India"/>
    <n v="11.81284597"/>
    <n v="79.418019650000005"/>
    <n v="4"/>
    <s v="Operational"/>
    <s v="Chargezone (India)"/>
    <n v="1"/>
    <n v="4"/>
    <x v="4"/>
  </r>
  <r>
    <n v="475941"/>
    <s v="Hotel Highway King"/>
    <s v="Unknown"/>
    <s v="Rajasthan"/>
    <s v="India"/>
    <n v="26.83003059"/>
    <n v="75.571203440000005"/>
    <n v="4"/>
    <s v="Operational"/>
    <s v="Statiq (IN)"/>
    <n v="1"/>
    <n v="4"/>
    <x v="5"/>
  </r>
  <r>
    <n v="475873"/>
    <s v="Mannat"/>
    <s v="Paota"/>
    <s v="Rajasthan"/>
    <s v="India"/>
    <n v="27.562407319999998"/>
    <n v="76.074978009999995"/>
    <n v="4"/>
    <s v="Operational"/>
    <s v="Charge_iN by Mahindra"/>
    <n v="1"/>
    <n v="4"/>
    <x v="5"/>
  </r>
  <r>
    <n v="474558"/>
    <s v="Jayalakshmi Silks EVCS | CAPGO | Vennala"/>
    <s v="Vennala"/>
    <s v="Kerala"/>
    <s v="India"/>
    <n v="10.00394558"/>
    <n v="76.313353500000005"/>
    <n v="4"/>
    <s v="Operational"/>
    <s v="ChargeMod (IN)"/>
    <n v="1"/>
    <n v="4"/>
    <x v="1"/>
  </r>
  <r>
    <n v="464530"/>
    <s v="GLIDA LOHIA PARK"/>
    <s v="LUCKNOW"/>
    <s v="Uttar Pradesh"/>
    <s v="India"/>
    <n v="26.857210689999999"/>
    <n v="80.982235149999994"/>
    <n v="4"/>
    <s v="Operational"/>
    <s v="GE WattStation (No longer active)"/>
    <n v="1"/>
    <n v="4"/>
    <x v="2"/>
  </r>
  <r>
    <n v="313917"/>
    <s v="Rajco EVCS - GO EC"/>
    <s v="Neyyattinkara"/>
    <s v="Kerala"/>
    <s v="India"/>
    <n v="8.394252775"/>
    <n v="77.088728970000005"/>
    <n v="4"/>
    <s v="Operational"/>
    <s v="GO EC (IN)"/>
    <n v="1"/>
    <n v="4"/>
    <x v="1"/>
  </r>
  <r>
    <n v="313903"/>
    <s v="Vrindavan EVCS - GO EC"/>
    <s v="Inchakkad"/>
    <s v="Kerala"/>
    <s v="India"/>
    <n v="9.0451284330000004"/>
    <n v="76.773600040000005"/>
    <n v="4"/>
    <s v="Operational"/>
    <s v="GO EC (IN)"/>
    <n v="1"/>
    <n v="4"/>
    <x v="1"/>
  </r>
  <r>
    <n v="313897"/>
    <s v="Cartist - GO EC"/>
    <s v="Kayamkulam"/>
    <s v="Kerala"/>
    <s v="India"/>
    <n v="9.1847397290000004"/>
    <n v="76.490296839999999"/>
    <n v="4"/>
    <s v="Operational"/>
    <s v="GO EC (IN)"/>
    <n v="1"/>
    <n v="4"/>
    <x v="1"/>
  </r>
  <r>
    <n v="313893"/>
    <s v="Quik Energy EVCS - GO EC"/>
    <s v="Chengannur"/>
    <s v="Kerala"/>
    <s v="India"/>
    <n v="9.3115330269999994"/>
    <n v="76.622720529999995"/>
    <n v="4"/>
    <s v="Operational"/>
    <s v="GO EC (IN)"/>
    <n v="1"/>
    <n v="4"/>
    <x v="1"/>
  </r>
  <r>
    <n v="313859"/>
    <s v="Lulu International Shopping Mall EVCS - GO EC"/>
    <s v="Edapally"/>
    <s v="Kerala"/>
    <s v="India"/>
    <n v="10.025853"/>
    <n v="76.308479879999993"/>
    <n v="4"/>
    <s v="Operational"/>
    <s v="GO EC (IN)"/>
    <n v="1"/>
    <n v="4"/>
    <x v="1"/>
  </r>
  <r>
    <n v="313843"/>
    <s v="Sree Rama EVCS - GO EC"/>
    <s v="Thrissur"/>
    <s v="Kerala"/>
    <s v="India"/>
    <n v="10.43559497"/>
    <n v="76.265874679999996"/>
    <n v="4"/>
    <s v="Operational"/>
    <s v="GO EC (IN)"/>
    <n v="1"/>
    <n v="4"/>
    <x v="1"/>
  </r>
  <r>
    <n v="313839"/>
    <s v="Shobha City Mall EVCS - GO EC"/>
    <s v="Thrissur"/>
    <s v="Kerala"/>
    <s v="India"/>
    <n v="10.548946559999999"/>
    <n v="76.183041110000005"/>
    <n v="4"/>
    <s v="Operational"/>
    <s v="GO EC (IN)"/>
    <n v="1"/>
    <n v="4"/>
    <x v="1"/>
  </r>
  <r>
    <n v="313809"/>
    <s v="Green Valley - GO EC"/>
    <s v="Thirissur"/>
    <s v="Kerala"/>
    <s v="India"/>
    <n v="10.69271606"/>
    <n v="76.268583750000005"/>
    <n v="4"/>
    <s v="Operational"/>
    <s v="GO EC (IN)"/>
    <n v="1"/>
    <n v="4"/>
    <x v="1"/>
  </r>
  <r>
    <n v="313806"/>
    <s v="Pattambi Power Bank - GO EC"/>
    <s v="Pattambi"/>
    <s v="Kerala"/>
    <s v="India"/>
    <n v="10.81106853"/>
    <n v="76.186443699999998"/>
    <n v="4"/>
    <s v="Operational"/>
    <s v="GO EC (IN)"/>
    <n v="1"/>
    <n v="4"/>
    <x v="1"/>
  </r>
  <r>
    <n v="313763"/>
    <s v="Green Amp EVCS - GO EC"/>
    <s v="Kozhikode"/>
    <s v="Kerala"/>
    <s v="India"/>
    <n v="11.25880102"/>
    <n v="75.808904350000006"/>
    <n v="4"/>
    <s v="Operational"/>
    <s v="GO EC (IN)"/>
    <n v="1"/>
    <n v="4"/>
    <x v="1"/>
  </r>
  <r>
    <n v="313740"/>
    <s v="Adhithya (EVOK) - ChargeMOD"/>
    <s v="Sulthan Bathery"/>
    <s v="Kerala"/>
    <s v="India"/>
    <n v="11.66208634"/>
    <n v="76.264921709999996"/>
    <n v="4"/>
    <s v="Operational"/>
    <s v="ChargeMod (IN)"/>
    <n v="1"/>
    <n v="4"/>
    <x v="1"/>
  </r>
  <r>
    <n v="313738"/>
    <s v="Konfudha Resort - ChargeMOD"/>
    <s v="Kalpetta"/>
    <s v="Kerala"/>
    <s v="India"/>
    <n v="11.59145545"/>
    <n v="76.070909779999994"/>
    <n v="4"/>
    <s v="Operational"/>
    <s v="ChargeMod (IN)"/>
    <n v="1"/>
    <n v="4"/>
    <x v="1"/>
  </r>
  <r>
    <n v="313708"/>
    <s v="Velanthavalam"/>
    <s v="Vellamthavalam"/>
    <s v="Kerala"/>
    <s v="India"/>
    <n v="10.80936299"/>
    <n v="76.846321590000002"/>
    <n v="4"/>
    <s v="Operational"/>
    <s v="ChargeMod (IN)"/>
    <n v="1"/>
    <n v="4"/>
    <x v="1"/>
  </r>
  <r>
    <n v="313692"/>
    <s v="SR Power Hub - ChargeMOD"/>
    <s v="Wadakkanchery"/>
    <s v="Kerala"/>
    <s v="India"/>
    <n v="10.644411310000001"/>
    <n v="76.236652379999995"/>
    <n v="4"/>
    <s v="Operational"/>
    <s v="ChargeMod (IN)"/>
    <n v="1"/>
    <n v="4"/>
    <x v="1"/>
  </r>
  <r>
    <n v="313677"/>
    <s v="Flash Hub EVCS - ChargeMOD"/>
    <s v="Thrissur"/>
    <s v="Kerala"/>
    <s v="India"/>
    <n v="10.50445167"/>
    <n v="76.225341470000004"/>
    <n v="4"/>
    <s v="Operational"/>
    <s v="ChargeMod (IN)"/>
    <n v="1"/>
    <n v="4"/>
    <x v="1"/>
  </r>
  <r>
    <n v="313645"/>
    <s v="CIAL Terminal 3"/>
    <s v="Nedumbassery"/>
    <s v="Kerala"/>
    <s v="India"/>
    <n v="10.15658638"/>
    <n v="76.391931560000003"/>
    <n v="4"/>
    <s v="Operational"/>
    <s v="ChargeMod (IN)"/>
    <n v="1"/>
    <n v="4"/>
    <x v="1"/>
  </r>
  <r>
    <n v="313644"/>
    <s v="CIAL Terminal 1"/>
    <s v="Nedumbassery"/>
    <s v="Kerala"/>
    <s v="India"/>
    <n v="10.15686756"/>
    <n v="76.388979899999995"/>
    <n v="4"/>
    <s v="Operational"/>
    <s v="ChargeMod (IN)"/>
    <n v="1"/>
    <n v="4"/>
    <x v="1"/>
  </r>
  <r>
    <n v="313623"/>
    <s v="Rajagiri Hospital EVCS - ChargeMOD"/>
    <s v="Aluva"/>
    <s v="Kerala"/>
    <s v="India"/>
    <n v="10.08803183"/>
    <n v="76.389042209999999"/>
    <n v="4"/>
    <s v="Operational"/>
    <s v="ChargeMod (IN)"/>
    <n v="1"/>
    <n v="4"/>
    <x v="1"/>
  </r>
  <r>
    <n v="313621"/>
    <s v="PPG Home EVCS - ChargeMOD"/>
    <s v="Thrippunithara"/>
    <s v="Kerala"/>
    <s v="India"/>
    <n v="9.9329876020000007"/>
    <n v="76.388735729999993"/>
    <n v="4"/>
    <s v="Operational"/>
    <s v="ChargeMod (IN)"/>
    <n v="1"/>
    <n v="4"/>
    <x v="1"/>
  </r>
  <r>
    <n v="313620"/>
    <s v="Hound Mobility EVCS | Kakkanad"/>
    <s v="Kakkanad"/>
    <s v="Kerala"/>
    <s v="India"/>
    <n v="10.00180181"/>
    <n v="76.361517989999996"/>
    <n v="4"/>
    <s v="Operational"/>
    <s v="ChargeMod (IN)"/>
    <n v="1"/>
    <n v="4"/>
    <x v="1"/>
  </r>
  <r>
    <n v="313613"/>
    <s v="PlugMap EVCS by Evan and Eyan"/>
    <s v="Moovattupuzha"/>
    <s v="Kerala"/>
    <s v="India"/>
    <n v="9.978862994"/>
    <n v="76.584439950000004"/>
    <n v="4"/>
    <s v="Operational"/>
    <s v="ChargeMod (IN)"/>
    <n v="1"/>
    <n v="4"/>
    <x v="1"/>
  </r>
  <r>
    <n v="313590"/>
    <s v="Jim and Jims EVCS - ChargeMOD"/>
    <s v="Pala"/>
    <s v="Kerala"/>
    <s v="India"/>
    <n v="9.6916237980000002"/>
    <n v="76.640316949999999"/>
    <n v="4"/>
    <s v="Operational"/>
    <s v="ChargeMod (IN)"/>
    <n v="1"/>
    <n v="4"/>
    <x v="1"/>
  </r>
  <r>
    <n v="313575"/>
    <s v="V Charge Hub - ChargeMOD"/>
    <s v="Karuvatta"/>
    <s v="Kerala"/>
    <s v="India"/>
    <n v="9.3142502829999998"/>
    <n v="76.429107729999998"/>
    <n v="4"/>
    <s v="Operational"/>
    <s v="ChargeMod (IN)"/>
    <n v="1"/>
    <n v="4"/>
    <x v="1"/>
  </r>
  <r>
    <n v="313511"/>
    <s v="ANERT EESL - Ernakulam"/>
    <s v="Ernakulam"/>
    <s v="Kerala"/>
    <s v="India"/>
    <n v="9.9769885009999992"/>
    <n v="76.277810520000003"/>
    <n v="4"/>
    <s v="Operational"/>
    <s v="EESL (IN)"/>
    <n v="1"/>
    <n v="4"/>
    <x v="1"/>
  </r>
  <r>
    <n v="313508"/>
    <s v="ANERT - EESL Sangamukham - EESL"/>
    <s v="Thiruvananthapuram"/>
    <s v="Kerala"/>
    <s v="India"/>
    <n v="8.4810147019999995"/>
    <n v="76.91264314"/>
    <n v="4"/>
    <s v="Operational"/>
    <s v="EESL (IN)"/>
    <n v="1"/>
    <n v="4"/>
    <x v="1"/>
  </r>
  <r>
    <n v="313491"/>
    <s v="Instacharge EV Fast Charging and CafÃ©"/>
    <s v="Kollam"/>
    <s v="Kerala"/>
    <s v="India"/>
    <n v="8.9154271610000002"/>
    <n v="76.614868869999995"/>
    <n v="4"/>
    <s v="Operational"/>
    <s v="ChargeMod (IN)"/>
    <n v="1"/>
    <n v="4"/>
    <x v="1"/>
  </r>
  <r>
    <n v="313465"/>
    <s v="HiLite Mall - Zeon"/>
    <s v="Kozhikode"/>
    <s v="Kerala"/>
    <s v="India"/>
    <n v="11.248102469999999"/>
    <n v="75.834135919999994"/>
    <n v="4"/>
    <s v="Operational"/>
    <s v="Zeon Charging"/>
    <n v="1"/>
    <n v="4"/>
    <x v="1"/>
  </r>
  <r>
    <n v="479433"/>
    <s v="Ather Grid Charging Station"/>
    <s v="Unknown"/>
    <s v="Odisha"/>
    <s v="India"/>
    <n v="22.243666000000001"/>
    <n v="84.827354"/>
    <n v="3"/>
    <s v="Operational"/>
    <s v="Unknown"/>
    <n v="1"/>
    <n v="3"/>
    <x v="0"/>
  </r>
  <r>
    <n v="479407"/>
    <s v="Ather Grid Charging Station"/>
    <s v="Unknown"/>
    <s v="Odisha"/>
    <s v="India"/>
    <n v="21.481622999999999"/>
    <n v="86.906899999999993"/>
    <n v="3"/>
    <s v="Operational"/>
    <s v="Unknown"/>
    <n v="1"/>
    <n v="3"/>
    <x v="0"/>
  </r>
  <r>
    <n v="479374"/>
    <s v="Adani Charging Station"/>
    <s v="Unknown"/>
    <s v="Odisha"/>
    <s v="India"/>
    <n v="21.296246"/>
    <n v="82.921301"/>
    <n v="3"/>
    <s v="Operational"/>
    <s v="Unknown"/>
    <n v="1"/>
    <n v="3"/>
    <x v="0"/>
  </r>
  <r>
    <n v="479265"/>
    <s v="Tata Power Charging Station"/>
    <s v="Unknown"/>
    <s v="Odisha"/>
    <s v="India"/>
    <n v="20.226997399999998"/>
    <n v="85.841081000000003"/>
    <n v="3"/>
    <s v="Operational"/>
    <s v="Unknown"/>
    <n v="1"/>
    <n v="3"/>
    <x v="0"/>
  </r>
  <r>
    <n v="479261"/>
    <s v="Tata Power Charging Station"/>
    <s v="Unknown"/>
    <s v="Odisha"/>
    <s v="India"/>
    <n v="20.241180100000001"/>
    <n v="85.759155500000006"/>
    <n v="3"/>
    <s v="Operational"/>
    <s v="Unknown"/>
    <n v="1"/>
    <n v="3"/>
    <x v="0"/>
  </r>
  <r>
    <n v="478917"/>
    <s v="Poovar PNT EVCS"/>
    <s v="Kulathoor"/>
    <s v="Kerala"/>
    <s v="India"/>
    <n v="8.3159688329999994"/>
    <n v="77.090354649999995"/>
    <n v="3"/>
    <s v="Operational"/>
    <s v="GO EC (IN)"/>
    <n v="1"/>
    <n v="3"/>
    <x v="1"/>
  </r>
  <r>
    <n v="478916"/>
    <s v="Ayyappa EVCS"/>
    <s v="Erumely"/>
    <s v="Kerala"/>
    <s v="India"/>
    <n v="9.4786627719999998"/>
    <n v="76.844871990000001"/>
    <n v="3"/>
    <s v="Operational"/>
    <s v="GO EC (IN)"/>
    <n v="1"/>
    <n v="3"/>
    <x v="1"/>
  </r>
  <r>
    <n v="478910"/>
    <s v="Haridwar EVCS"/>
    <s v="Koothattukulam"/>
    <s v="Kerala"/>
    <s v="India"/>
    <n v="9.8720652770000008"/>
    <n v="76.596114589999999"/>
    <n v="3"/>
    <s v="Operational"/>
    <s v="GO EC (IN)"/>
    <n v="1"/>
    <n v="3"/>
    <x v="1"/>
  </r>
  <r>
    <n v="478900"/>
    <s v="rajeEVam EVCS"/>
    <s v="Kodungallur"/>
    <s v="Kerala"/>
    <s v="India"/>
    <n v="10.203141260000001"/>
    <n v="76.200400950000002"/>
    <n v="3"/>
    <s v="Operational"/>
    <s v="GO EC (IN)"/>
    <n v="1"/>
    <n v="3"/>
    <x v="1"/>
  </r>
  <r>
    <n v="478895"/>
    <s v="Hi - Span EVCS"/>
    <s v="Pampampallam"/>
    <s v="Kerala"/>
    <s v="India"/>
    <n v="10.819635720000001"/>
    <n v="76.810196910000002"/>
    <n v="3"/>
    <s v="Operational"/>
    <s v="GO EC (IN)"/>
    <n v="1"/>
    <n v="3"/>
    <x v="1"/>
  </r>
  <r>
    <n v="478887"/>
    <s v="Elektron EVCS"/>
    <s v="Perambra"/>
    <s v="Kerala"/>
    <s v="India"/>
    <n v="11.551253689999999"/>
    <n v="75.746257110000002"/>
    <n v="3"/>
    <s v="Operational"/>
    <s v="GO EC (IN)"/>
    <n v="1"/>
    <n v="3"/>
    <x v="1"/>
  </r>
  <r>
    <n v="478886"/>
    <s v="Power Drive EV Supercharging Station"/>
    <s v="Anjarakandy"/>
    <s v="Kerala"/>
    <s v="India"/>
    <n v="11.881399160000001"/>
    <n v="75.501313769999996"/>
    <n v="3"/>
    <s v="Operational"/>
    <s v="GO EC (IN)"/>
    <n v="1"/>
    <n v="3"/>
    <x v="1"/>
  </r>
  <r>
    <n v="474559"/>
    <s v="SK EVCS | Kizhakkambalam"/>
    <s v="Kizhakkambalam"/>
    <s v="Kerala"/>
    <s v="India"/>
    <n v="10.0364764"/>
    <n v="76.418650339999999"/>
    <n v="3"/>
    <s v="Operational"/>
    <s v="ChargeMod (IN)"/>
    <n v="1"/>
    <n v="3"/>
    <x v="1"/>
  </r>
  <r>
    <n v="474468"/>
    <s v="AR Square EVCS | Kavalayoor"/>
    <s v="Kavalayur"/>
    <s v="Unknown"/>
    <s v="India"/>
    <n v="8.7139741789999992"/>
    <n v="76.779719069999999"/>
    <n v="3"/>
    <s v="Operational"/>
    <s v="ChargeMod (IN)"/>
    <n v="1"/>
    <n v="3"/>
    <x v="6"/>
  </r>
  <r>
    <n v="313918"/>
    <s v="Eco Charge Hub - GO EC"/>
    <s v="Thiruvananthapuram"/>
    <s v="Kerala"/>
    <s v="India"/>
    <n v="8.3532086480000007"/>
    <n v="77.053790120000002"/>
    <n v="3"/>
    <s v="Operational"/>
    <s v="GO EC (IN)"/>
    <n v="1"/>
    <n v="3"/>
    <x v="1"/>
  </r>
  <r>
    <n v="313909"/>
    <s v="Orion Plaza EVCS - GO EC"/>
    <s v="Chadayamangalam"/>
    <s v="Kerala"/>
    <s v="India"/>
    <n v="8.8634269900000007"/>
    <n v="76.871207839999997"/>
    <n v="3"/>
    <s v="Operational"/>
    <s v="GO EC (IN)"/>
    <n v="1"/>
    <n v="3"/>
    <x v="1"/>
  </r>
  <r>
    <n v="313902"/>
    <s v="JB Power EVCS - GO EC"/>
    <s v="Adoor"/>
    <s v="Kerala"/>
    <s v="India"/>
    <n v="9.1168470490000004"/>
    <n v="76.745111879999996"/>
    <n v="3"/>
    <s v="Operational"/>
    <s v="GO EC (IN)"/>
    <n v="1"/>
    <n v="3"/>
    <x v="1"/>
  </r>
  <r>
    <n v="313900"/>
    <s v="Green Earth - GO EC"/>
    <s v="Adoor"/>
    <s v="Kerala"/>
    <s v="India"/>
    <n v="9.1535641539999997"/>
    <n v="76.735544360000006"/>
    <n v="3"/>
    <s v="Operational"/>
    <s v="GO EC (IN)"/>
    <n v="1"/>
    <n v="3"/>
    <x v="1"/>
  </r>
  <r>
    <n v="313886"/>
    <s v="Open Kitchen EVCS - GO EC"/>
    <s v="Kuttikkanam"/>
    <s v="Kerala"/>
    <s v="India"/>
    <n v="9.580204298"/>
    <n v="76.970611730000002"/>
    <n v="3"/>
    <s v="Operational"/>
    <s v="GO EC (IN)"/>
    <n v="1"/>
    <n v="3"/>
    <x v="1"/>
  </r>
  <r>
    <n v="313881"/>
    <s v="Ettumanur Skylight EVCS - GO EC"/>
    <s v="Ettumanoor"/>
    <s v="Kerala"/>
    <s v="India"/>
    <n v="9.6681718290000003"/>
    <n v="76.575378819999997"/>
    <n v="3"/>
    <s v="Operational"/>
    <s v="GO EC (IN)"/>
    <n v="1"/>
    <n v="3"/>
    <x v="1"/>
  </r>
  <r>
    <n v="313872"/>
    <s v="Huts Restaurant EVCS - GO EC"/>
    <s v="Cherthala"/>
    <s v="Kerala"/>
    <s v="India"/>
    <n v="9.6838908020000005"/>
    <n v="76.333582190000001"/>
    <n v="3"/>
    <s v="Operational"/>
    <s v="GO EC (IN)"/>
    <n v="1"/>
    <n v="3"/>
    <x v="1"/>
  </r>
  <r>
    <n v="313867"/>
    <s v="Prithvi EVCS - GO EC"/>
    <s v="Kadavanthra"/>
    <s v="Kerala"/>
    <s v="India"/>
    <n v="9.947451633"/>
    <n v="76.303415560000005"/>
    <n v="3"/>
    <s v="Operational"/>
    <s v="GO EC (IN)"/>
    <n v="1"/>
    <n v="3"/>
    <x v="1"/>
  </r>
  <r>
    <n v="313856"/>
    <s v="Prestige EV Super Charging Station - GO EC"/>
    <s v="Perumbavoor"/>
    <s v="Kerala"/>
    <s v="India"/>
    <n v="10.116599669999999"/>
    <n v="76.445699410000003"/>
    <n v="3"/>
    <s v="Operational"/>
    <s v="GO EC (IN)"/>
    <n v="1"/>
    <n v="3"/>
    <x v="1"/>
  </r>
  <r>
    <n v="313846"/>
    <s v="FUZO EV Super Charging Station"/>
    <s v="Kodungallur"/>
    <s v="Kerala"/>
    <s v="India"/>
    <n v="10.378135159999999"/>
    <n v="76.122545389999999"/>
    <n v="3"/>
    <s v="Operational"/>
    <s v="GO EC (IN)"/>
    <n v="1"/>
    <n v="3"/>
    <x v="1"/>
  </r>
  <r>
    <n v="313838"/>
    <s v="Amala Smart EVCS - GO EC"/>
    <s v="Peramangalam"/>
    <s v="Kerala"/>
    <s v="India"/>
    <n v="10.564967490000001"/>
    <n v="76.165984260000002"/>
    <n v="3"/>
    <s v="Operational"/>
    <s v="GO EC (IN)"/>
    <n v="1"/>
    <n v="3"/>
    <x v="1"/>
  </r>
  <r>
    <n v="313815"/>
    <s v="Ahalia Walayar - GO EC"/>
    <s v="Walayar"/>
    <s v="Kerala"/>
    <s v="India"/>
    <n v="10.82659305"/>
    <n v="76.82605307"/>
    <n v="3"/>
    <s v="Operational"/>
    <s v="GO EC (IN)"/>
    <n v="1"/>
    <n v="3"/>
    <x v="1"/>
  </r>
  <r>
    <n v="313814"/>
    <s v="Le Sky Dine EVCS - GO EC"/>
    <s v="Palakkad"/>
    <s v="Kerala"/>
    <s v="India"/>
    <n v="10.77395725"/>
    <n v="76.698197410000006"/>
    <n v="3"/>
    <s v="Operational"/>
    <s v="GO EC (IN)"/>
    <n v="1"/>
    <n v="3"/>
    <x v="1"/>
  </r>
  <r>
    <n v="313813"/>
    <s v="Doctor Green EVCS - GO EC"/>
    <s v="Alathur"/>
    <s v="Kerala"/>
    <s v="India"/>
    <n v="10.64616636"/>
    <n v="76.551402390000007"/>
    <n v="3"/>
    <s v="Operational"/>
    <s v="GO EC (IN)"/>
    <n v="1"/>
    <n v="3"/>
    <x v="1"/>
  </r>
  <r>
    <n v="313804"/>
    <s v="Oasis EV Super Charging Station"/>
    <s v="Mannarkkad"/>
    <s v="Kerala"/>
    <s v="India"/>
    <n v="10.933556619999999"/>
    <n v="76.527217100000001"/>
    <n v="3"/>
    <s v="Operational"/>
    <s v="GO EC (IN)"/>
    <n v="1"/>
    <n v="3"/>
    <x v="1"/>
  </r>
  <r>
    <n v="313788"/>
    <s v="Green Zone EVCS - GO EC"/>
    <s v="Valanchery"/>
    <s v="Kerala"/>
    <s v="India"/>
    <n v="10.873413080000001"/>
    <n v="76.062458230000004"/>
    <n v="3"/>
    <s v="Operational"/>
    <s v="GO EC (IN)"/>
    <n v="1"/>
    <n v="3"/>
    <x v="1"/>
  </r>
  <r>
    <n v="313782"/>
    <s v="VP Mall EVCS - GO EC"/>
    <s v="Manjeri"/>
    <s v="Kerala"/>
    <s v="India"/>
    <n v="11.12891582"/>
    <n v="76.115394609999996"/>
    <n v="3"/>
    <s v="Operational"/>
    <s v="GO EC (IN)"/>
    <n v="1"/>
    <n v="3"/>
    <x v="1"/>
  </r>
  <r>
    <n v="313753"/>
    <s v="Ammas Fast - ChargeMOD"/>
    <s v="Cheruvathur"/>
    <s v="Kerala"/>
    <s v="India"/>
    <n v="12.227200229999999"/>
    <n v="75.159119939999997"/>
    <n v="3"/>
    <s v="Operational"/>
    <s v="ChargeMod (IN)"/>
    <n v="1"/>
    <n v="3"/>
    <x v="1"/>
  </r>
  <r>
    <n v="313752"/>
    <s v="Mathil Service Co-Operative Bank EVCS - ChargeMOD"/>
    <s v="Mathil"/>
    <s v="Kerala"/>
    <s v="India"/>
    <n v="12.176970150000001"/>
    <n v="75.246755800000003"/>
    <n v="3"/>
    <s v="Operational"/>
    <s v="ChargeMod (IN)"/>
    <n v="1"/>
    <n v="3"/>
    <x v="1"/>
  </r>
  <r>
    <n v="313748"/>
    <s v="Eastend Hotel and Resorts - ChargeMOD"/>
    <s v="Munnar"/>
    <s v="Kerala"/>
    <s v="India"/>
    <n v="10.0873794"/>
    <n v="77.061699630000007"/>
    <n v="3"/>
    <s v="Operational"/>
    <s v="ChargeMod (IN)"/>
    <n v="1"/>
    <n v="3"/>
    <x v="1"/>
  </r>
  <r>
    <n v="313690"/>
    <s v="Executive EVCS - ChargeMOD"/>
    <s v="Kechery"/>
    <s v="Kerala"/>
    <s v="India"/>
    <n v="10.616626589999999"/>
    <n v="76.125783920000003"/>
    <n v="3"/>
    <s v="Operational"/>
    <s v="ChargeMod (IN)"/>
    <n v="1"/>
    <n v="3"/>
    <x v="1"/>
  </r>
  <r>
    <n v="313662"/>
    <s v="Plugin EVCS - ChargeMOD"/>
    <s v="Marathakkara"/>
    <s v="Kerala"/>
    <s v="India"/>
    <n v="10.476826920000001"/>
    <n v="76.257581849999994"/>
    <n v="3"/>
    <s v="Operational"/>
    <s v="ChargeMod (IN)"/>
    <n v="1"/>
    <n v="3"/>
    <x v="1"/>
  </r>
  <r>
    <n v="313634"/>
    <s v="Rajagiri College EVCS - ChargeMOD"/>
    <s v="Kalamassery"/>
    <s v="Kerala"/>
    <s v="India"/>
    <n v="10.05245925"/>
    <n v="76.314656299999996"/>
    <n v="3"/>
    <s v="Operational"/>
    <s v="ChargeMod (IN)"/>
    <n v="1"/>
    <n v="3"/>
    <x v="1"/>
  </r>
  <r>
    <n v="313606"/>
    <s v="Royal EV Charging - ChargeMOD"/>
    <s v="Koothattukulam"/>
    <s v="Keraka"/>
    <s v="India"/>
    <n v="9.8565625039999993"/>
    <n v="76.596569799999997"/>
    <n v="3"/>
    <s v="Operational"/>
    <s v="ChargeMod (IN)"/>
    <n v="1"/>
    <n v="3"/>
    <x v="1"/>
  </r>
  <r>
    <n v="313593"/>
    <s v="EQ Vagamon EV Port - ChargeMOD"/>
    <s v="Vagamon"/>
    <s v="Kerala"/>
    <s v="India"/>
    <n v="9.6843039869999998"/>
    <n v="76.895482639999997"/>
    <n v="3"/>
    <s v="Operational"/>
    <s v="ChargeMod (IN)"/>
    <n v="1"/>
    <n v="3"/>
    <x v="1"/>
  </r>
  <r>
    <n v="313579"/>
    <s v="JJ E Fills - ChargeMOD"/>
    <s v="Changanassery"/>
    <s v="Kerala"/>
    <s v="India"/>
    <n v="9.4522503259999997"/>
    <n v="76.547238899999996"/>
    <n v="3"/>
    <s v="Operational"/>
    <s v="ChargeMod (IN)"/>
    <n v="1"/>
    <n v="3"/>
    <x v="1"/>
  </r>
  <r>
    <n v="313576"/>
    <s v="Iongrid EV Spark - ChargeMOD"/>
    <s v="Edathwa"/>
    <s v="Kerala"/>
    <s v="India"/>
    <n v="9.3675258800000005"/>
    <n v="76.49951806"/>
    <n v="3"/>
    <s v="Operational"/>
    <s v="ChargeMod (IN)"/>
    <n v="1"/>
    <n v="3"/>
    <x v="1"/>
  </r>
  <r>
    <n v="313557"/>
    <s v="PTC Arcade - ChargeMOD"/>
    <s v="Chengannur"/>
    <s v="Kerala"/>
    <s v="India"/>
    <n v="9.3012934020000007"/>
    <n v="76.63077878"/>
    <n v="3"/>
    <s v="Operational"/>
    <s v="ChargeMod (IN)"/>
    <n v="1"/>
    <n v="3"/>
    <x v="1"/>
  </r>
  <r>
    <n v="313529"/>
    <s v="ANERT EESL - Pinarayi Park"/>
    <s v="Kannur"/>
    <s v="Kerala"/>
    <s v="India"/>
    <n v="11.7952321"/>
    <n v="75.490218900000002"/>
    <n v="3"/>
    <s v="Operational"/>
    <s v="EESL (IN)"/>
    <n v="1"/>
    <n v="3"/>
    <x v="1"/>
  </r>
  <r>
    <n v="313528"/>
    <s v="ANERT EESL - Aahar Restaurant Vadakara"/>
    <s v="Vadakara"/>
    <s v="Kerala"/>
    <s v="India"/>
    <n v="11.58636489"/>
    <n v="75.593220340000002"/>
    <n v="3"/>
    <s v="Operational"/>
    <s v="EESL (IN)"/>
    <n v="1"/>
    <n v="3"/>
    <x v="1"/>
  </r>
  <r>
    <n v="313527"/>
    <s v="ANERT EESL - Moosakkutti Memorial Bus Stand"/>
    <s v="Perinthalmanna"/>
    <s v="Kerala"/>
    <s v="India"/>
    <n v="10.97506931"/>
    <n v="76.222283279999999"/>
    <n v="3"/>
    <s v="Operational"/>
    <s v="EESL (IN)"/>
    <n v="1"/>
    <n v="3"/>
    <x v="1"/>
  </r>
  <r>
    <n v="313526"/>
    <s v="ANERT EESL - Kanjirappuzha Garden"/>
    <s v="Mannarkkad"/>
    <s v="Keral"/>
    <s v="India"/>
    <n v="10.989259260000001"/>
    <n v="76.537012140000002"/>
    <n v="3"/>
    <s v="Operational"/>
    <s v="EESL (IN)"/>
    <n v="1"/>
    <n v="3"/>
    <x v="1"/>
  </r>
  <r>
    <n v="313525"/>
    <s v="ANERT EESL - KTDC Aahar Restaurant "/>
    <s v="Kayamkulam"/>
    <s v="Lerala"/>
    <s v="India"/>
    <n v="9.1490219550000003"/>
    <n v="76.512918229999997"/>
    <n v="3"/>
    <s v="Operational"/>
    <s v="EESL (IN)"/>
    <n v="1"/>
    <n v="3"/>
    <x v="1"/>
  </r>
  <r>
    <n v="313515"/>
    <s v="ANERT EESL - Kulappulli Bus Stand"/>
    <s v="Shornur"/>
    <s v="Kerala"/>
    <s v="India"/>
    <n v="10.78101644"/>
    <n v="76.278327660000002"/>
    <n v="3"/>
    <s v="Operational"/>
    <s v="EESL (IN)"/>
    <n v="1"/>
    <n v="3"/>
    <x v="1"/>
  </r>
  <r>
    <n v="313514"/>
    <s v="ANERT EESL - KILA Thrissur"/>
    <s v="Thrissur"/>
    <s v="Kerala"/>
    <s v="India"/>
    <n v="10.60158189"/>
    <n v="76.214882309999993"/>
    <n v="3"/>
    <s v="Operational"/>
    <s v="EESL (IN)"/>
    <n v="1"/>
    <n v="3"/>
    <x v="1"/>
  </r>
  <r>
    <n v="313513"/>
    <s v="ANERT EESL - Chittur Thathamangalam Minicipality"/>
    <s v="Palakkad"/>
    <s v="Kerala"/>
    <s v="India"/>
    <n v="10.69295155"/>
    <n v="76.726262079999998"/>
    <n v="3"/>
    <s v="Operational"/>
    <s v="EESL (IN)"/>
    <n v="1"/>
    <n v="3"/>
    <x v="1"/>
  </r>
  <r>
    <n v="313512"/>
    <s v="ANERT EESL - DTPC Idukki Park"/>
    <s v="Idukki"/>
    <s v="Kerala"/>
    <s v="India"/>
    <n v="9.8490565090000004"/>
    <n v="76.977403710000004"/>
    <n v="3"/>
    <s v="Operational"/>
    <s v="EESL (IN)"/>
    <n v="1"/>
    <n v="3"/>
    <x v="1"/>
  </r>
  <r>
    <n v="313510"/>
    <s v="ANERT EESL - Autokast "/>
    <s v="Cherthala"/>
    <s v="Kerala"/>
    <s v="India"/>
    <n v="9.6337001299999994"/>
    <n v="76.333722449999996"/>
    <n v="3"/>
    <s v="Operational"/>
    <s v="EESL (IN)"/>
    <n v="1"/>
    <n v="3"/>
    <x v="1"/>
  </r>
  <r>
    <n v="313509"/>
    <s v="ANERT EESL Milma Diary Plant - EESL"/>
    <s v="Pathanamthitta"/>
    <s v="Kerala"/>
    <s v="India"/>
    <n v="9.2187886920000004"/>
    <n v="76.748753980000004"/>
    <n v="3"/>
    <s v="Operational"/>
    <s v="EESL (IN)"/>
    <n v="1"/>
    <n v="3"/>
    <x v="1"/>
  </r>
  <r>
    <n v="313497"/>
    <s v="GreenVeel - ChargeZone"/>
    <s v="Idukki"/>
    <s v="Kerala"/>
    <s v="India"/>
    <n v="9.8926595400000004"/>
    <n v="76.71176414"/>
    <n v="3"/>
    <s v="Operational"/>
    <s v="ChargeMod (IN)"/>
    <n v="1"/>
    <n v="3"/>
    <x v="1"/>
  </r>
  <r>
    <n v="313489"/>
    <s v="KVE Charge"/>
    <s v="Varkala"/>
    <s v="Kerala"/>
    <s v="India"/>
    <n v="8.7375483559999996"/>
    <n v="76.707898009999994"/>
    <n v="3"/>
    <s v="Operational"/>
    <s v="ChargeMod (IN)"/>
    <n v="1"/>
    <n v="3"/>
    <x v="1"/>
  </r>
  <r>
    <n v="313472"/>
    <s v="Co-Operqative Bank - Zeon"/>
    <s v="Kathirur"/>
    <s v="Kerala"/>
    <s v="India"/>
    <n v="11.78788559"/>
    <n v="75.533021050000002"/>
    <n v="3"/>
    <s v="Operational"/>
    <s v="Zeon Charging"/>
    <n v="1"/>
    <n v="3"/>
    <x v="1"/>
  </r>
  <r>
    <n v="313464"/>
    <s v="HiLite Business Park - Zeon"/>
    <s v="Kozhikode"/>
    <s v="Kerala"/>
    <s v="India"/>
    <n v="11.247016159999999"/>
    <n v="75.834678640000007"/>
    <n v="3"/>
    <s v="Operational"/>
    <s v="Zeon Charging"/>
    <n v="1"/>
    <n v="3"/>
    <x v="1"/>
  </r>
  <r>
    <n v="313447"/>
    <s v="Grand Mall"/>
    <s v="Edappalli"/>
    <s v="Kerala"/>
    <s v="India"/>
    <n v="10.024160419999999"/>
    <n v="76.308711930000001"/>
    <n v="3"/>
    <s v="Operational"/>
    <s v="Zeon Charging"/>
    <n v="1"/>
    <n v="3"/>
    <x v="1"/>
  </r>
  <r>
    <n v="479437"/>
    <s v="Hindustan Petroleum Corporation Limited Charging Station"/>
    <s v="Unknown"/>
    <s v="Odisha"/>
    <s v="India"/>
    <n v="22.4497441"/>
    <n v="86.594943700000002"/>
    <n v="2"/>
    <s v="Operational"/>
    <s v="Unknown"/>
    <n v="1"/>
    <n v="2"/>
    <x v="0"/>
  </r>
  <r>
    <n v="479429"/>
    <s v="Ather Charging Station"/>
    <s v="Unknown"/>
    <s v="Odisha"/>
    <s v="India"/>
    <n v="22.227812499999999"/>
    <n v="84.818387400000006"/>
    <n v="2"/>
    <s v="Operational"/>
    <s v="Unknown"/>
    <n v="1"/>
    <n v="2"/>
    <x v="0"/>
  </r>
  <r>
    <n v="479414"/>
    <s v="CharjKaro Charging Station"/>
    <s v="Unknown"/>
    <s v="Odisha"/>
    <s v="India"/>
    <n v="21.8069144"/>
    <n v="82.752529300000006"/>
    <n v="2"/>
    <s v="Operational"/>
    <s v="Unknown"/>
    <n v="1"/>
    <n v="2"/>
    <x v="0"/>
  </r>
  <r>
    <n v="479406"/>
    <s v="Ather Charging Station"/>
    <s v="Unknown"/>
    <s v="Odisha"/>
    <s v="India"/>
    <n v="21.498719999999999"/>
    <n v="86.931079999999994"/>
    <n v="2"/>
    <s v="Operational"/>
    <s v="Unknown"/>
    <n v="1"/>
    <n v="2"/>
    <x v="0"/>
  </r>
  <r>
    <n v="479396"/>
    <s v="Ather Grid Charging Station"/>
    <s v="Unknown"/>
    <s v="Odisha"/>
    <s v="India"/>
    <n v="21.467634"/>
    <n v="83.977264000000005"/>
    <n v="2"/>
    <s v="Operational"/>
    <s v="Unknown"/>
    <n v="1"/>
    <n v="2"/>
    <x v="0"/>
  </r>
  <r>
    <n v="479389"/>
    <s v="Ather Grid Charging Station"/>
    <s v="Unknown"/>
    <s v="Odisha"/>
    <s v="India"/>
    <n v="21.516079999999999"/>
    <n v="81.693889999999996"/>
    <n v="2"/>
    <s v="Operational"/>
    <s v="Unknown"/>
    <n v="1"/>
    <n v="2"/>
    <x v="0"/>
  </r>
  <r>
    <n v="479355"/>
    <s v="Electric Vehicle Charging Station"/>
    <s v="Unknown"/>
    <s v="Odisha"/>
    <s v="India"/>
    <n v="21.235067099999998"/>
    <n v="81.630900199999999"/>
    <n v="2"/>
    <s v="Operational"/>
    <s v="Unknown"/>
    <n v="1"/>
    <n v="2"/>
    <x v="0"/>
  </r>
  <r>
    <n v="479353"/>
    <s v="Ather Charging Station"/>
    <s v="Unknown"/>
    <s v="Odisha"/>
    <s v="India"/>
    <n v="21.225601000000001"/>
    <n v="81.656052299999999"/>
    <n v="2"/>
    <s v="Operational"/>
    <s v="Unknown"/>
    <n v="1"/>
    <n v="2"/>
    <x v="0"/>
  </r>
  <r>
    <n v="479352"/>
    <s v="Tata Power Charging Station"/>
    <s v="Unknown"/>
    <s v="Odisha"/>
    <s v="India"/>
    <n v="21.255368300000001"/>
    <n v="81.629453100000006"/>
    <n v="2"/>
    <s v="Operational"/>
    <s v="Unknown"/>
    <n v="1"/>
    <n v="2"/>
    <x v="0"/>
  </r>
  <r>
    <n v="479317"/>
    <s v="Tata Power Charging Station"/>
    <s v="Unknown"/>
    <s v="Odisha"/>
    <s v="India"/>
    <n v="20.8450685"/>
    <n v="85.116202599999994"/>
    <n v="2"/>
    <s v="Operational"/>
    <s v="Unknown"/>
    <n v="1"/>
    <n v="2"/>
    <x v="0"/>
  </r>
  <r>
    <n v="479291"/>
    <s v="Tata Power Charging Station"/>
    <s v="Unknown"/>
    <s v="Odisha"/>
    <s v="India"/>
    <n v="20.405161100000001"/>
    <n v="85.879807700000001"/>
    <n v="2"/>
    <s v="Operational"/>
    <s v="Unknown"/>
    <n v="1"/>
    <n v="2"/>
    <x v="0"/>
  </r>
  <r>
    <n v="479284"/>
    <s v="Ather Grid Charging Station"/>
    <s v="Unknown"/>
    <s v="Odisha"/>
    <s v="India"/>
    <n v="20.260697400000002"/>
    <n v="86.201643700000005"/>
    <n v="2"/>
    <s v="Operational"/>
    <s v="Unknown"/>
    <n v="1"/>
    <n v="2"/>
    <x v="0"/>
  </r>
  <r>
    <n v="479279"/>
    <s v="Ather Grid Charging Station"/>
    <s v="Unknown"/>
    <s v="Odisha"/>
    <s v="India"/>
    <n v="20.256187000000001"/>
    <n v="85.786837500000004"/>
    <n v="2"/>
    <s v="Operational"/>
    <s v="Unknown"/>
    <n v="1"/>
    <n v="2"/>
    <x v="0"/>
  </r>
  <r>
    <n v="479276"/>
    <s v="Statiq Charging Station"/>
    <s v="Unknown"/>
    <s v="Odisha"/>
    <s v="India"/>
    <n v="20.291476299999999"/>
    <n v="85.856012199999995"/>
    <n v="2"/>
    <s v="Operational"/>
    <s v="Unknown"/>
    <n v="1"/>
    <n v="2"/>
    <x v="0"/>
  </r>
  <r>
    <n v="479273"/>
    <s v="Statiq Charging Station"/>
    <s v="Unknown"/>
    <s v="Odisha"/>
    <s v="India"/>
    <n v="20.245771999999999"/>
    <n v="85.783043000000006"/>
    <n v="2"/>
    <s v="Operational"/>
    <s v="Unknown"/>
    <n v="1"/>
    <n v="2"/>
    <x v="0"/>
  </r>
  <r>
    <n v="479272"/>
    <s v="Tata Power Charging Station"/>
    <s v="Unknown"/>
    <s v="Odisha"/>
    <s v="India"/>
    <n v="20.259014000000001"/>
    <n v="85.839705899999998"/>
    <n v="2"/>
    <s v="Operational"/>
    <s v="Unknown"/>
    <n v="1"/>
    <n v="2"/>
    <x v="0"/>
  </r>
  <r>
    <n v="479269"/>
    <s v="Adani Charging Station"/>
    <s v="Unknown"/>
    <s v="Odisha"/>
    <s v="India"/>
    <n v="20.2529878"/>
    <n v="85.818779000000006"/>
    <n v="2"/>
    <s v="Operational"/>
    <s v="Unknown"/>
    <n v="1"/>
    <n v="2"/>
    <x v="0"/>
  </r>
  <r>
    <n v="479266"/>
    <s v="BPCL Charging Station"/>
    <s v="Unknown"/>
    <s v="Odisha"/>
    <s v="India"/>
    <n v="20.254729999999999"/>
    <n v="85.787240999999995"/>
    <n v="2"/>
    <s v="Operational"/>
    <s v="Unknown"/>
    <n v="1"/>
    <n v="2"/>
    <x v="0"/>
  </r>
  <r>
    <n v="479262"/>
    <s v="Statiq Charging Station"/>
    <s v="Unknown"/>
    <s v="Odisha"/>
    <s v="India"/>
    <n v="20.205642999999998"/>
    <n v="85.644065999999995"/>
    <n v="2"/>
    <s v="Operational"/>
    <s v="Unknown"/>
    <n v="1"/>
    <n v="2"/>
    <x v="0"/>
  </r>
  <r>
    <n v="479260"/>
    <s v="Tata Power Charging Station"/>
    <s v="Unknown"/>
    <s v="Odisha"/>
    <s v="India"/>
    <n v="20.238164999999999"/>
    <n v="85.756642999999997"/>
    <n v="2"/>
    <s v="Operational"/>
    <s v="Unknown"/>
    <n v="1"/>
    <n v="2"/>
    <x v="0"/>
  </r>
  <r>
    <n v="479255"/>
    <s v="Tata Power Charging Station"/>
    <s v="Unknown"/>
    <s v="Odisha"/>
    <s v="India"/>
    <n v="20.230607800000001"/>
    <n v="85.737670699999995"/>
    <n v="2"/>
    <s v="Operational"/>
    <s v="Unknown"/>
    <n v="1"/>
    <n v="2"/>
    <x v="0"/>
  </r>
  <r>
    <n v="479247"/>
    <s v="BPCL Charging Station"/>
    <s v="Unknown"/>
    <s v="Odisha"/>
    <s v="India"/>
    <n v="20.3013862"/>
    <n v="82.751643299999998"/>
    <n v="2"/>
    <s v="Operational"/>
    <s v="Unknown"/>
    <n v="1"/>
    <n v="2"/>
    <x v="0"/>
  </r>
  <r>
    <n v="479239"/>
    <s v="Tata Power Charging Station"/>
    <s v="Unknown"/>
    <s v="Odisha"/>
    <s v="India"/>
    <n v="19.8373153"/>
    <n v="85.836626600000002"/>
    <n v="2"/>
    <s v="Operational"/>
    <s v="Unknown"/>
    <n v="1"/>
    <n v="2"/>
    <x v="0"/>
  </r>
  <r>
    <n v="479219"/>
    <s v="BPCL Charging Station"/>
    <s v="Unknown"/>
    <s v="Odisha"/>
    <s v="India"/>
    <n v="19.749316"/>
    <n v="85.207598000000004"/>
    <n v="2"/>
    <s v="Operational"/>
    <s v="Unknown"/>
    <n v="1"/>
    <n v="2"/>
    <x v="0"/>
  </r>
  <r>
    <n v="479207"/>
    <s v="Tata Power Charging Station"/>
    <s v="Unknown"/>
    <s v="Odisha"/>
    <s v="India"/>
    <n v="19.315211000000001"/>
    <n v="84.858143999999996"/>
    <n v="2"/>
    <s v="Operational"/>
    <s v="Unknown"/>
    <n v="1"/>
    <n v="2"/>
    <x v="0"/>
  </r>
  <r>
    <n v="479187"/>
    <s v="BPCL Charging Station"/>
    <s v="Unknown"/>
    <s v="Odisha"/>
    <s v="India"/>
    <n v="18.84732"/>
    <n v="82.565171000000007"/>
    <n v="2"/>
    <s v="Operational"/>
    <s v="Unknown"/>
    <n v="1"/>
    <n v="2"/>
    <x v="0"/>
  </r>
  <r>
    <n v="479129"/>
    <s v="BPCL Charging Station"/>
    <s v="Unknown"/>
    <s v="Odisha"/>
    <s v="India"/>
    <n v="19.749316"/>
    <n v="85.207598000000004"/>
    <n v="2"/>
    <s v="Operational"/>
    <s v="Unknown"/>
    <n v="1"/>
    <n v="2"/>
    <x v="0"/>
  </r>
  <r>
    <n v="479117"/>
    <s v="Tata Power Charging Station"/>
    <s v="Unknown"/>
    <s v="Odisha"/>
    <s v="India"/>
    <n v="19.315211000000001"/>
    <n v="84.858143999999996"/>
    <n v="2"/>
    <s v="Operational"/>
    <s v="Unknown"/>
    <n v="1"/>
    <n v="2"/>
    <x v="0"/>
  </r>
  <r>
    <n v="479097"/>
    <s v="BPCL Charging Station"/>
    <s v="Unknown"/>
    <s v="Odisha"/>
    <s v="India"/>
    <n v="18.84732"/>
    <n v="82.565171000000007"/>
    <n v="2"/>
    <s v="Operational"/>
    <s v="Unknown"/>
    <n v="1"/>
    <n v="2"/>
    <x v="0"/>
  </r>
  <r>
    <n v="478918"/>
    <s v="Royal Drive EVCS"/>
    <s v="Venpalavattom"/>
    <s v="Kerala"/>
    <s v="India"/>
    <n v="8.5034954799999998"/>
    <n v="76.911661640000005"/>
    <n v="2"/>
    <s v="Operational"/>
    <s v="GO EC (IN)"/>
    <n v="1"/>
    <n v="2"/>
    <x v="1"/>
  </r>
  <r>
    <n v="478915"/>
    <s v="Adimali Rangers"/>
    <s v="Adimali"/>
    <s v="Kerala"/>
    <s v="India"/>
    <n v="10.0141442"/>
    <n v="76.943829969999996"/>
    <n v="2"/>
    <s v="Operational"/>
    <s v="GO EC (IN)"/>
    <n v="1"/>
    <n v="2"/>
    <x v="1"/>
  </r>
  <r>
    <n v="478914"/>
    <s v="Hill View EVCS"/>
    <s v="Munnar"/>
    <s v="Kerala"/>
    <s v="India"/>
    <n v="10.069936650000001"/>
    <n v="77.060941940000006"/>
    <n v="2"/>
    <s v="Operational"/>
    <s v="GO EC (IN)"/>
    <n v="1"/>
    <n v="2"/>
    <x v="1"/>
  </r>
  <r>
    <n v="478913"/>
    <s v="Cargo Auto Hub EVCS"/>
    <s v="Bharananganam"/>
    <s v="Kerala"/>
    <s v="India"/>
    <n v="9.7027619749999996"/>
    <n v="76.721193749999998"/>
    <n v="2"/>
    <s v="Operational"/>
    <s v="GO EC (IN)"/>
    <n v="1"/>
    <n v="2"/>
    <x v="1"/>
  </r>
  <r>
    <n v="478912"/>
    <s v="Minerva EVCS"/>
    <s v="Ettumanoor"/>
    <s v="Kerala"/>
    <s v="India"/>
    <n v="9.6925764290000007"/>
    <n v="76.55969005"/>
    <n v="2"/>
    <s v="Operational"/>
    <s v="GO EC (IN)"/>
    <n v="1"/>
    <n v="2"/>
    <x v="1"/>
  </r>
  <r>
    <n v="478911"/>
    <s v="Savoi Complex EVCS"/>
    <s v="Koothattukulam"/>
    <s v="Kerala"/>
    <s v="India"/>
    <n v="9.8613407459999998"/>
    <n v="76.595990110000002"/>
    <n v="2"/>
    <s v="Operational"/>
    <s v="GO EC (IN)"/>
    <n v="1"/>
    <n v="2"/>
    <x v="1"/>
  </r>
  <r>
    <n v="478909"/>
    <s v="Pattakulam EV Super Charging Station"/>
    <s v="Kothamangalam"/>
    <s v="Kerala"/>
    <s v="India"/>
    <n v="10.058637620000001"/>
    <n v="76.652377920000006"/>
    <n v="2"/>
    <s v="Operational"/>
    <s v="GO EC (IN)"/>
    <n v="1"/>
    <n v="2"/>
    <x v="1"/>
  </r>
  <r>
    <n v="478908"/>
    <s v="Eco Park EVCS"/>
    <s v="Pukkattupady"/>
    <s v="Kerala"/>
    <s v="India"/>
    <n v="10.06823616"/>
    <n v="76.386813529999998"/>
    <n v="2"/>
    <s v="Operational"/>
    <s v="GO EC (IN)"/>
    <n v="1"/>
    <n v="2"/>
    <x v="1"/>
  </r>
  <r>
    <n v="478907"/>
    <s v="Yash Square EVCS"/>
    <s v="Aluva"/>
    <s v="Kerala"/>
    <s v="India"/>
    <n v="10.11057497"/>
    <n v="76.372872740000005"/>
    <n v="2"/>
    <s v="Operational"/>
    <s v="GO EC (IN)"/>
    <n v="1"/>
    <n v="2"/>
    <x v="1"/>
  </r>
  <r>
    <n v="478906"/>
    <s v="Ie.On EVCS"/>
    <s v="Vazhakkulam"/>
    <s v="Kerala"/>
    <s v="India"/>
    <n v="10.08867027"/>
    <n v="76.424419880000002"/>
    <n v="2"/>
    <s v="Operational"/>
    <s v="GO EC (IN)"/>
    <n v="1"/>
    <n v="2"/>
    <x v="1"/>
  </r>
  <r>
    <n v="478905"/>
    <s v="JP Complex EVCS"/>
    <s v="Perumbavoor"/>
    <s v="Kerala"/>
    <s v="India"/>
    <n v="10.11154054"/>
    <n v="76.478927569999996"/>
    <n v="2"/>
    <s v="Operational"/>
    <s v="GO EC (IN)"/>
    <n v="1"/>
    <n v="2"/>
    <x v="1"/>
  </r>
  <r>
    <n v="478904"/>
    <s v="Electro Spark EVCS"/>
    <s v="Perumbavoor"/>
    <s v="Kerala"/>
    <s v="India"/>
    <n v="10.16308064"/>
    <n v="76.48721725"/>
    <n v="2"/>
    <s v="Operational"/>
    <s v="GO EC (IN)"/>
    <n v="1"/>
    <n v="2"/>
    <x v="1"/>
  </r>
  <r>
    <n v="478903"/>
    <s v="Smartvolt EVCS"/>
    <s v="Kalady"/>
    <s v="Kerala"/>
    <s v="India"/>
    <n v="10.16879256"/>
    <n v="76.434744129999999"/>
    <n v="2"/>
    <s v="Operational"/>
    <s v="GO EC (IN)"/>
    <n v="1"/>
    <n v="2"/>
    <x v="1"/>
  </r>
  <r>
    <n v="478902"/>
    <s v="Chendamangalam Combined Energy"/>
    <s v="Chendamangalam"/>
    <s v="Kerala"/>
    <s v="India"/>
    <n v="10.16452076"/>
    <n v="76.233289929999998"/>
    <n v="2"/>
    <s v="Operational"/>
    <s v="GO EC (IN)"/>
    <n v="1"/>
    <n v="2"/>
    <x v="1"/>
  </r>
  <r>
    <n v="478901"/>
    <s v="Ideal EV Super Charging Station"/>
    <s v="North Paravur"/>
    <s v="Kerala"/>
    <s v="India"/>
    <n v="10.14922378"/>
    <n v="76.226505900000006"/>
    <n v="2"/>
    <s v="Operational"/>
    <s v="GO EC (IN)"/>
    <n v="1"/>
    <n v="2"/>
    <x v="1"/>
  </r>
  <r>
    <n v="478898"/>
    <s v="Chavakkad Golden Tower EVCS"/>
    <s v="Punnayur"/>
    <s v="Kerala"/>
    <s v="India"/>
    <n v="10.6429724"/>
    <n v="75.985580479999996"/>
    <n v="2"/>
    <s v="Operational"/>
    <s v="GO EC (IN)"/>
    <n v="1"/>
    <n v="2"/>
    <x v="1"/>
  </r>
  <r>
    <n v="478897"/>
    <s v="Guruvayoor Sreeja EVCS"/>
    <s v="Guruvayur"/>
    <s v="Kerala"/>
    <s v="India"/>
    <n v="10.593309830000001"/>
    <n v="76.037396880000003"/>
    <n v="2"/>
    <s v="Operational"/>
    <s v="GO EC (IN)"/>
    <n v="1"/>
    <n v="2"/>
    <x v="1"/>
  </r>
  <r>
    <n v="478894"/>
    <s v="Page EVCS"/>
    <s v="Tirur"/>
    <s v="Kerala"/>
    <s v="India"/>
    <n v="10.901221319999999"/>
    <n v="75.925416389999995"/>
    <n v="2"/>
    <s v="Operational"/>
    <s v="GO EC (IN)"/>
    <n v="1"/>
    <n v="2"/>
    <x v="1"/>
  </r>
  <r>
    <n v="478893"/>
    <s v="Dilkush EVCS"/>
    <s v="Ramanattukara"/>
    <s v="Kerala"/>
    <s v="India"/>
    <n v="11.179791939999999"/>
    <n v="75.872134709999997"/>
    <n v="2"/>
    <s v="Operational"/>
    <s v="GO EC (IN)"/>
    <n v="1"/>
    <n v="2"/>
    <x v="1"/>
  </r>
  <r>
    <n v="478892"/>
    <s v="Calicut Malabar Gold HQ EVCS"/>
    <s v="Peruvayal"/>
    <s v="Kerala"/>
    <s v="India"/>
    <n v="11.28048199"/>
    <n v="75.879104830000003"/>
    <n v="2"/>
    <s v="Operational"/>
    <s v="GO EC (IN)"/>
    <n v="1"/>
    <n v="2"/>
    <x v="1"/>
  </r>
  <r>
    <n v="478891"/>
    <s v="Kunnamangalam Little Flower EVCS"/>
    <s v="Chelavoor"/>
    <s v="Kerala"/>
    <s v="India"/>
    <n v="11.29802224"/>
    <n v="75.853000390000005"/>
    <n v="2"/>
    <s v="Operational"/>
    <s v="GO EC (IN)"/>
    <n v="1"/>
    <n v="2"/>
    <x v="1"/>
  </r>
  <r>
    <n v="478885"/>
    <s v="Sreekandapuram Samudra EVCS"/>
    <s v="Sreekandapuram"/>
    <s v="Kerala"/>
    <s v="India"/>
    <n v="12.04252833"/>
    <n v="75.509833639999997"/>
    <n v="2"/>
    <s v="Operational"/>
    <s v="GO EC (IN)"/>
    <n v="1"/>
    <n v="2"/>
    <x v="1"/>
  </r>
  <r>
    <n v="478883"/>
    <s v="Sheraton Grand Chennai Resort"/>
    <s v="Chennai"/>
    <s v="Tamil Nadu"/>
    <s v="India"/>
    <n v="12.744285809999999"/>
    <n v="80.239281300000002"/>
    <n v="2"/>
    <s v="Operational"/>
    <s v="Chargezone (India)"/>
    <n v="1"/>
    <n v="2"/>
    <x v="4"/>
  </r>
  <r>
    <n v="478882"/>
    <s v="Four Points By Sheraton"/>
    <s v="Mahabalipuram"/>
    <s v="Tamil Nadu"/>
    <s v="India"/>
    <n v="12.61307921"/>
    <n v="80.168796240000006"/>
    <n v="2"/>
    <s v="Operational"/>
    <s v="Chargezone (India)"/>
    <n v="1"/>
    <n v="2"/>
    <x v="4"/>
  </r>
  <r>
    <n v="478880"/>
    <s v="Fairfield By Marriott"/>
    <s v="Sriperumbudur"/>
    <s v="Tamil Nadu"/>
    <s v="India"/>
    <n v="12.932607259999999"/>
    <n v="79.905816360000003"/>
    <n v="2"/>
    <s v="Operational"/>
    <s v="Chargezone (India)"/>
    <n v="1"/>
    <n v="2"/>
    <x v="4"/>
  </r>
  <r>
    <n v="478879"/>
    <s v="Hotel Seasons"/>
    <s v="Tiruvannamalai"/>
    <s v="Tamil Nadu"/>
    <s v="India"/>
    <n v="12.258660689999999"/>
    <n v="79.068388589999998"/>
    <n v="2"/>
    <s v="Operational"/>
    <s v="Chargezone (India)"/>
    <n v="1"/>
    <n v="2"/>
    <x v="4"/>
  </r>
  <r>
    <n v="478877"/>
    <s v="Ashva Hyundai"/>
    <s v="Elambalur"/>
    <s v="Tamil Nadu"/>
    <s v="India"/>
    <n v="11.26305138"/>
    <n v="78.897413180000001"/>
    <n v="2"/>
    <s v="Operational"/>
    <s v="Chargezone (India)"/>
    <n v="1"/>
    <n v="2"/>
    <x v="4"/>
  </r>
  <r>
    <n v="478876"/>
    <s v="Kovai Hyundai"/>
    <s v="Salem"/>
    <s v="Tamil Nadu"/>
    <s v="India"/>
    <n v="11.648355240000001"/>
    <n v="78.120208829999996"/>
    <n v="2"/>
    <s v="Operational"/>
    <s v="Chargezone (India)"/>
    <n v="1"/>
    <n v="2"/>
    <x v="4"/>
  </r>
  <r>
    <n v="478875"/>
    <s v="Lotus Hyundai"/>
    <s v="Coimbatore"/>
    <s v="Tamil Nadu"/>
    <s v="India"/>
    <n v="11.04548355"/>
    <n v="76.985789749999995"/>
    <n v="2"/>
    <s v="Operational"/>
    <s v="Chargezone (India)"/>
    <n v="1"/>
    <n v="2"/>
    <x v="4"/>
  </r>
  <r>
    <n v="478874"/>
    <s v="Vetri Hyundai"/>
    <s v="Thanjavur"/>
    <s v="Tamil Nadu"/>
    <s v="India"/>
    <n v="10.740856770000001"/>
    <n v="79.107558130000001"/>
    <n v="2"/>
    <s v="Operational"/>
    <s v="Chargezone (India)"/>
    <n v="1"/>
    <n v="2"/>
    <x v="4"/>
  </r>
  <r>
    <n v="478873"/>
    <s v="Courtyard By Marriott"/>
    <s v="Tiruchirappalli"/>
    <s v="Tamil Nadu"/>
    <s v="India"/>
    <n v="10.804353219999999"/>
    <n v="78.677253219999997"/>
    <n v="2"/>
    <s v="Operational"/>
    <s v="Chargezone (India)"/>
    <n v="1"/>
    <n v="2"/>
    <x v="4"/>
  </r>
  <r>
    <n v="478872"/>
    <s v="Oxina Hyundai"/>
    <s v="Tiruchirappalli"/>
    <s v="Tamil Nadu"/>
    <s v="India"/>
    <n v="10.791207399999999"/>
    <n v="78.657784480000004"/>
    <n v="2"/>
    <s v="Operational"/>
    <s v="Chargezone (India)"/>
    <n v="1"/>
    <n v="2"/>
    <x v="4"/>
  </r>
  <r>
    <n v="478871"/>
    <s v="Surya's Veggie Restaurant"/>
    <s v="Vaiyampatti"/>
    <s v="Tamil Nadu"/>
    <s v="India"/>
    <n v="10.560668959999999"/>
    <n v="78.321808419999996"/>
    <n v="2"/>
    <s v="Operational"/>
    <s v="Chargezone (India)"/>
    <n v="1"/>
    <n v="2"/>
    <x v="4"/>
  </r>
  <r>
    <n v="478870"/>
    <s v="Sree Karpagamoorthy Automobiles"/>
    <s v="Karaikudi"/>
    <s v="Tamil Nadu"/>
    <s v="India"/>
    <n v="10.070078410000001"/>
    <n v="78.727504580000002"/>
    <n v="2"/>
    <s v="Operational"/>
    <s v="Chargezone (India)"/>
    <n v="1"/>
    <n v="2"/>
    <x v="4"/>
  </r>
  <r>
    <n v="478869"/>
    <s v="Veepees Bistro And CafÃ¨"/>
    <s v="Tirumangalam"/>
    <s v="Tamil Nadu"/>
    <s v="India"/>
    <n v="9.8171197289999999"/>
    <n v="77.978341069999999"/>
    <n v="2"/>
    <s v="Operational"/>
    <s v="Chargezone (India)"/>
    <n v="1"/>
    <n v="2"/>
    <x v="4"/>
  </r>
  <r>
    <n v="478868"/>
    <s v="M. S. Shanmuganadar Mattai Kadai"/>
    <s v="Mettupatti"/>
    <s v="Tamil Nadu"/>
    <s v="India"/>
    <n v="9.3000035380000003"/>
    <n v="77.915658109999995"/>
    <n v="2"/>
    <s v="Operational"/>
    <s v="Chargezone (India)"/>
    <n v="1"/>
    <n v="2"/>
    <x v="4"/>
  </r>
  <r>
    <n v="478867"/>
    <s v="Popular Hyundai"/>
    <s v="Thrissur"/>
    <s v="Kerala"/>
    <s v="India"/>
    <n v="10.502420239999999"/>
    <n v="76.257982260000006"/>
    <n v="2"/>
    <s v="Operational"/>
    <s v="Chargezone (India)"/>
    <n v="1"/>
    <n v="2"/>
    <x v="1"/>
  </r>
  <r>
    <n v="478865"/>
    <s v="JBS Bistro Cafe"/>
    <s v="Tirunelveli"/>
    <s v="Tamil Nadu"/>
    <s v="India"/>
    <n v="8.5402511350000001"/>
    <n v="77.669517099999993"/>
    <n v="2"/>
    <s v="Operational"/>
    <s v="ChargeMod (IN)"/>
    <n v="1"/>
    <n v="2"/>
    <x v="4"/>
  </r>
  <r>
    <n v="478864"/>
    <s v="Hydra Charging Station"/>
    <s v="Dharapuram"/>
    <s v="Tamil Nadu"/>
    <s v="India"/>
    <n v="10.71722243"/>
    <n v="77.556213799999995"/>
    <n v="2"/>
    <s v="Operational"/>
    <s v="ChargeMod (IN)"/>
    <n v="1"/>
    <n v="2"/>
    <x v="4"/>
  </r>
  <r>
    <n v="478863"/>
    <s v="Hydra Charging Station"/>
    <s v="Singallur"/>
    <s v="Tamil Nadu"/>
    <s v="India"/>
    <n v="10.996757799999999"/>
    <n v="77.00865211"/>
    <n v="2"/>
    <s v="Operational"/>
    <s v="ChargeMod (IN)"/>
    <n v="1"/>
    <n v="2"/>
    <x v="4"/>
  </r>
  <r>
    <n v="478858"/>
    <s v="Lemon Tree Vembanad Lake Resort"/>
    <s v="Muhamma"/>
    <s v="Kerala"/>
    <s v="India"/>
    <n v="9.6192443559999994"/>
    <n v="76.372185819999999"/>
    <n v="2"/>
    <s v="Not Operational"/>
    <s v="ChargeMod (IN)"/>
    <n v="0"/>
    <n v="0"/>
    <x v="1"/>
  </r>
  <r>
    <n v="478855"/>
    <s v="KKOH"/>
    <s v="Nagercoil"/>
    <s v="Tamil Nadu"/>
    <s v="India"/>
    <n v="8.1945029070000004"/>
    <n v="77.394416359999994"/>
    <n v="2"/>
    <s v="Operational"/>
    <s v="ChargeMod (IN)"/>
    <n v="1"/>
    <n v="2"/>
    <x v="4"/>
  </r>
  <r>
    <n v="478854"/>
    <s v="Regen Energy"/>
    <s v="Kechery"/>
    <s v="Kerala"/>
    <s v="India"/>
    <n v="10.66622295"/>
    <n v="76.113443989999993"/>
    <n v="2"/>
    <s v="Operational"/>
    <s v="ChargeMod (IN)"/>
    <n v="1"/>
    <n v="2"/>
    <x v="1"/>
  </r>
  <r>
    <n v="478520"/>
    <s v="Driftnatuon Food Court NH44"/>
    <s v="Unknown"/>
    <s v="Telangana"/>
    <s v="India"/>
    <n v="16.814493840000001"/>
    <n v="78.148328539999994"/>
    <n v="2"/>
    <s v="Operational"/>
    <s v="Chargezone (India)"/>
    <n v="1"/>
    <n v="2"/>
    <x v="3"/>
  </r>
  <r>
    <n v="478519"/>
    <s v="Driftnation Food Court NH44"/>
    <s v="Unknown"/>
    <s v="Telangana"/>
    <s v="India"/>
    <n v="16.81475507"/>
    <n v="78.148400229999993"/>
    <n v="2"/>
    <s v="Operational"/>
    <s v="JIO BP Pulse (India)"/>
    <n v="1"/>
    <n v="2"/>
    <x v="3"/>
  </r>
  <r>
    <n v="478491"/>
    <s v="SK Volt Hub Kovoor"/>
    <s v="Kozhikode"/>
    <s v="Kerala"/>
    <s v="India"/>
    <n v="11.268432389999999"/>
    <n v="75.831155969999998"/>
    <n v="2"/>
    <s v="Operational"/>
    <s v="Zeon Charging"/>
    <n v="1"/>
    <n v="2"/>
    <x v="1"/>
  </r>
  <r>
    <n v="477284"/>
    <s v="NE-4 KFC Parking"/>
    <s v="Unknown"/>
    <s v="Haryana"/>
    <s v="India"/>
    <n v="27.735562569999999"/>
    <n v="76.983877109999995"/>
    <n v="2"/>
    <s v="Operational"/>
    <s v="Statiq (IN)"/>
    <n v="1"/>
    <n v="2"/>
    <x v="7"/>
  </r>
  <r>
    <n v="475886"/>
    <s v="Old Rao Hotel"/>
    <s v="Dudu"/>
    <s v="Rajasthan"/>
    <s v="India"/>
    <n v="26.63638297"/>
    <n v="75.102217330000002"/>
    <n v="2"/>
    <s v="Operational"/>
    <s v="Adani Gas-EV (TR)"/>
    <n v="1"/>
    <n v="2"/>
    <x v="5"/>
  </r>
  <r>
    <n v="475875"/>
    <s v="Earthtron EV"/>
    <s v="Paota"/>
    <s v="Rajasthan"/>
    <s v="India"/>
    <n v="27.562552019999998"/>
    <n v="76.075089059999996"/>
    <n v="2"/>
    <s v="Operational"/>
    <s v="EarthtronEV (IN)"/>
    <n v="1"/>
    <n v="2"/>
    <x v="5"/>
  </r>
  <r>
    <n v="475874"/>
    <s v="Earthtron EV"/>
    <s v="Paota"/>
    <s v="Rajasthan"/>
    <s v="India"/>
    <n v="27.562552019999998"/>
    <n v="76.075089059999996"/>
    <n v="2"/>
    <s v="Operational"/>
    <s v="CHARGE+"/>
    <n v="1"/>
    <n v="2"/>
    <x v="5"/>
  </r>
  <r>
    <n v="475673"/>
    <s v="Tata.Ev Vapi"/>
    <s v="Vapi"/>
    <s v="Gujarat"/>
    <s v="India"/>
    <n v="20.380110259999999"/>
    <n v="72.914454879999994"/>
    <n v="2"/>
    <s v="Operational"/>
    <s v="Chargezone (India)"/>
    <n v="1"/>
    <n v="2"/>
    <x v="8"/>
  </r>
  <r>
    <n v="475671"/>
    <s v="BPCL EV Dharamshala Road"/>
    <s v="Dharamshala"/>
    <s v="Himachal Pradesh"/>
    <s v="India"/>
    <n v="32.214505389999999"/>
    <n v="76.316939629999993"/>
    <n v="2"/>
    <s v="Operational"/>
    <s v="eDrive BPCL (IN)"/>
    <n v="1"/>
    <n v="2"/>
    <x v="9"/>
  </r>
  <r>
    <n v="475550"/>
    <s v="JIO-BP Pulse"/>
    <s v="Armoor"/>
    <s v="Telangana"/>
    <s v="India"/>
    <n v="18.822907709999999"/>
    <n v="78.321722679999993"/>
    <n v="2"/>
    <s v="Operational"/>
    <s v="JIO BP Pulse (India)"/>
    <n v="1"/>
    <n v="2"/>
    <x v="3"/>
  </r>
  <r>
    <n v="475401"/>
    <s v="Sai Restaurant &amp; Cafe"/>
    <s v="Narayanwadi"/>
    <s v="Maharashtra"/>
    <s v="India"/>
    <n v="17.22435243"/>
    <n v="74.180164730000001"/>
    <n v="2"/>
    <s v="Operational"/>
    <s v="Zeon Charging"/>
    <n v="1"/>
    <n v="2"/>
    <x v="10"/>
  </r>
  <r>
    <n v="475337"/>
    <s v="Ishyu Restaurant Jetcharge"/>
    <s v="Unknown"/>
    <s v="Rajasthan"/>
    <s v="India"/>
    <n v="24.891418349999999"/>
    <n v="75.964821130000004"/>
    <n v="2"/>
    <s v="Operational"/>
    <s v="eDrive BPCL (IN)"/>
    <n v="1"/>
    <n v="2"/>
    <x v="5"/>
  </r>
  <r>
    <n v="474598"/>
    <s v="Al Ameemi Fast Charging Station"/>
    <s v="Payyanur"/>
    <s v="Kerala"/>
    <s v="India"/>
    <n v="12.10566047"/>
    <n v="75.211734320000005"/>
    <n v="2"/>
    <s v="Operational"/>
    <s v="ChargeMod (IN)"/>
    <n v="1"/>
    <n v="2"/>
    <x v="1"/>
  </r>
  <r>
    <n v="474595"/>
    <s v="EQ Sprinkle EVCS | Thaliparamba"/>
    <s v="Thaliparamba"/>
    <s v="Kerala"/>
    <s v="India"/>
    <n v="12.048654640000001"/>
    <n v="75.346280059999998"/>
    <n v="2"/>
    <s v="Operational"/>
    <s v="ChargeMod (IN)"/>
    <n v="1"/>
    <n v="2"/>
    <x v="1"/>
  </r>
  <r>
    <n v="474593"/>
    <s v="VAN-V | EVOK | Panamaram"/>
    <s v="Panamaram"/>
    <s v="Kerala"/>
    <s v="India"/>
    <n v="11.7257471"/>
    <n v="76.077673369999999"/>
    <n v="2"/>
    <s v="Operational"/>
    <s v="ChargeMod (IN)"/>
    <n v="1"/>
    <n v="2"/>
    <x v="1"/>
  </r>
  <r>
    <n v="474585"/>
    <s v="Kairali EVCS | Vengalam"/>
    <s v="Vengalam"/>
    <s v="Kerala"/>
    <s v="India"/>
    <n v="11.364746009999999"/>
    <n v="75.739449930000006"/>
    <n v="2"/>
    <s v="Operational"/>
    <s v="ChargeMod (IN)"/>
    <n v="1"/>
    <n v="2"/>
    <x v="1"/>
  </r>
  <r>
    <n v="474582"/>
    <s v="Shakti | EVOK Charging Hub"/>
    <s v="Kozhikode"/>
    <s v="Kerala"/>
    <s v="India"/>
    <n v="11.25784125"/>
    <n v="75.810187920000004"/>
    <n v="2"/>
    <s v="Operational"/>
    <s v="ChargeMod (IN)"/>
    <n v="1"/>
    <n v="2"/>
    <x v="1"/>
  </r>
  <r>
    <n v="474580"/>
    <s v="EcoVolt EVCS | EVOK | Pantheerankavu"/>
    <s v="Pantheerankavu"/>
    <s v="Kerala"/>
    <s v="India"/>
    <n v="11.23535468"/>
    <n v="75.8456683"/>
    <n v="2"/>
    <s v="Operational"/>
    <s v="ChargeMod (IN)"/>
    <n v="1"/>
    <n v="2"/>
    <x v="1"/>
  </r>
  <r>
    <n v="474578"/>
    <s v="Bisluck Energy EVCS | Vattaparamba"/>
    <s v="Edavannappara"/>
    <s v="Kerala"/>
    <s v="India"/>
    <n v="11.16434134"/>
    <n v="75.964007370000004"/>
    <n v="2"/>
    <s v="Operational"/>
    <s v="ChargeMod (IN)"/>
    <n v="1"/>
    <n v="2"/>
    <x v="1"/>
  </r>
  <r>
    <n v="474576"/>
    <s v="Elite EVOK Charging Hub | Perinthalmanna"/>
    <s v="Perinthalmanna"/>
    <s v="Kerala"/>
    <s v="India"/>
    <n v="10.97774961"/>
    <n v="76.242862889999998"/>
    <n v="2"/>
    <s v="Operational"/>
    <s v="ChargeMod (IN)"/>
    <n v="1"/>
    <n v="2"/>
    <x v="1"/>
  </r>
  <r>
    <n v="474571"/>
    <s v="EVMOD EVCS | Pudussery"/>
    <s v="Kanjikode"/>
    <s v="Kerala"/>
    <s v="India"/>
    <n v="10.796990859999999"/>
    <n v="76.764409259999994"/>
    <n v="2"/>
    <s v="Operational"/>
    <s v="ChargeMod (IN)"/>
    <n v="1"/>
    <n v="2"/>
    <x v="1"/>
  </r>
  <r>
    <n v="474570"/>
    <s v="EVDay EVCS | Ottappalam | Manissery"/>
    <s v="Ottappalam"/>
    <s v="Kerala"/>
    <s v="India"/>
    <n v="10.777715300000001"/>
    <n v="76.341227700000005"/>
    <n v="2"/>
    <s v="Operational"/>
    <s v="ChargeMod (IN)"/>
    <n v="1"/>
    <n v="2"/>
    <x v="1"/>
  </r>
  <r>
    <n v="474568"/>
    <s v="K4 EV Fast Charging Station"/>
    <s v="Kunnamkulam"/>
    <s v="Kerala"/>
    <s v="India"/>
    <n v="10.70522046"/>
    <n v="76.089267599999999"/>
    <n v="2"/>
    <s v="Operational"/>
    <s v="ChargeMod (IN)"/>
    <n v="1"/>
    <n v="2"/>
    <x v="1"/>
  </r>
  <r>
    <n v="474567"/>
    <s v="VKJ | Flash Charge EVCS | Chettuva"/>
    <s v="Chettuva"/>
    <s v="Kerala"/>
    <s v="India"/>
    <n v="10.521423220000001"/>
    <n v="76.051279010000002"/>
    <n v="2"/>
    <s v="Operational"/>
    <s v="ChargeMod (IN)"/>
    <n v="1"/>
    <n v="2"/>
    <x v="1"/>
  </r>
  <r>
    <n v="474563"/>
    <s v="Turbo EV Charge Hub | Mannuthi Bypass"/>
    <s v="Mannuthi"/>
    <s v="Kerala"/>
    <s v="India"/>
    <n v="10.528605750000001"/>
    <n v="76.255621129999994"/>
    <n v="2"/>
    <s v="Operational"/>
    <s v="ChargeMod (IN)"/>
    <n v="1"/>
    <n v="2"/>
    <x v="1"/>
  </r>
  <r>
    <n v="474561"/>
    <s v="M Star EVCS | Koorkenchery"/>
    <s v="Thrissur"/>
    <s v="Kerala"/>
    <s v="India"/>
    <n v="10.511219799999999"/>
    <n v="76.21322687"/>
    <n v="2"/>
    <s v="Operational"/>
    <s v="ChargeMod (IN)"/>
    <n v="1"/>
    <n v="2"/>
    <x v="1"/>
  </r>
  <r>
    <n v="474555"/>
    <s v="Adithya Shree EVCS | Ponnamveli"/>
    <s v="Cherthala"/>
    <s v="Kerala"/>
    <s v="India"/>
    <n v="9.7432319809999992"/>
    <n v="76.319428619999996"/>
    <n v="2"/>
    <s v="Operational"/>
    <s v="ChargeMod (IN)"/>
    <n v="1"/>
    <n v="2"/>
    <x v="1"/>
  </r>
  <r>
    <n v="474553"/>
    <s v="Kavalangad Service Bank EVCS | EVOK"/>
    <s v="Nellimattom"/>
    <s v="Kerala"/>
    <s v="India"/>
    <n v="10.05906858"/>
    <n v="76.683979590000007"/>
    <n v="2"/>
    <s v="Operational"/>
    <s v="ChargeMod (IN)"/>
    <n v="1"/>
    <n v="2"/>
    <x v="1"/>
  </r>
  <r>
    <n v="474550"/>
    <s v="EVee Buddy | Vedas Energy EVCS | Ramapuram"/>
    <s v="Ramapuram"/>
    <s v="Kerala"/>
    <s v="India"/>
    <n v="9.796182731"/>
    <n v="76.663308110000003"/>
    <n v="2"/>
    <s v="Operational"/>
    <s v="ChargeMod (IN)"/>
    <n v="1"/>
    <n v="2"/>
    <x v="1"/>
  </r>
  <r>
    <n v="474549"/>
    <s v="Qwik Volt EVCS | Kothanalloor"/>
    <s v="Ettumanoor"/>
    <s v="Kerala"/>
    <s v="India"/>
    <n v="9.7188467660000004"/>
    <n v="76.525173690000003"/>
    <n v="2"/>
    <s v="Operational"/>
    <s v="ChargeMod (IN)"/>
    <n v="1"/>
    <n v="2"/>
    <x v="1"/>
  </r>
  <r>
    <n v="474544"/>
    <s v="EV Point EVCS | Pala"/>
    <s v="Pala"/>
    <s v="Kerala"/>
    <s v="India"/>
    <n v="9.7197523449999998"/>
    <n v="76.691662940000001"/>
    <n v="2"/>
    <s v="Operational"/>
    <s v="ChargeMod (IN)"/>
    <n v="1"/>
    <n v="2"/>
    <x v="1"/>
  </r>
  <r>
    <n v="474543"/>
    <s v="EQ ChargeMate | Naalumanikkattu"/>
    <s v="Manarcadu"/>
    <s v="Kerala"/>
    <s v="India"/>
    <n v="9.6060836389999995"/>
    <n v="76.576150470000002"/>
    <n v="2"/>
    <s v="Operational"/>
    <s v="ChargeMod (IN)"/>
    <n v="1"/>
    <n v="2"/>
    <x v="1"/>
  </r>
  <r>
    <n v="474542"/>
    <s v="Sihla Energy EVCS | Pathanadu"/>
    <s v="Pathanadu"/>
    <s v="Kerala"/>
    <s v="India"/>
    <n v="9.5096745729999999"/>
    <n v="76.693360740000003"/>
    <n v="2"/>
    <s v="Operational"/>
    <s v="ChargeMod (IN)"/>
    <n v="1"/>
    <n v="2"/>
    <x v="1"/>
  </r>
  <r>
    <n v="474540"/>
    <s v="Iongrid | Thuruthy"/>
    <s v="Changanasseri"/>
    <s v="Kerala"/>
    <s v="India"/>
    <n v="9.4737942700000009"/>
    <n v="76.528514380000004"/>
    <n v="2"/>
    <s v="Operational"/>
    <s v="ChargeMod (IN)"/>
    <n v="1"/>
    <n v="2"/>
    <x v="1"/>
  </r>
  <r>
    <n v="474539"/>
    <s v="Zap N Go"/>
    <s v="Kuttanadu"/>
    <s v="Kerala"/>
    <s v="India"/>
    <n v="9.4177052400000001"/>
    <n v="76.488120510000002"/>
    <n v="2"/>
    <s v="Operational"/>
    <s v="ChargeMod (IN)"/>
    <n v="1"/>
    <n v="2"/>
    <x v="1"/>
  </r>
  <r>
    <n v="474538"/>
    <s v="EVOK Charging Station | Thiruvalla"/>
    <s v="Thiruvalla"/>
    <s v="Kerala"/>
    <s v="India"/>
    <n v="9.3573435620000005"/>
    <n v="76.590624450000007"/>
    <n v="2"/>
    <s v="Operational"/>
    <s v="ChargeMod (IN)"/>
    <n v="1"/>
    <n v="2"/>
    <x v="1"/>
  </r>
  <r>
    <n v="474474"/>
    <s v="Panamthodil Bakers | Chavara"/>
    <s v="Chavara"/>
    <s v="Kerala"/>
    <s v="India"/>
    <n v="8.9832299750000004"/>
    <n v="76.534770399999999"/>
    <n v="2"/>
    <s v="Operational"/>
    <s v="ChargeMod (IN)"/>
    <n v="1"/>
    <n v="2"/>
    <x v="1"/>
  </r>
  <r>
    <n v="474473"/>
    <s v="Panamthodil Bakers | Chavara"/>
    <s v="Chavara"/>
    <s v="Kerala"/>
    <s v="India"/>
    <n v="8.9832299750000004"/>
    <n v="76.534770399999999"/>
    <n v="2"/>
    <s v="Operational"/>
    <s v="ChargeMod (IN)"/>
    <n v="1"/>
    <n v="2"/>
    <x v="1"/>
  </r>
  <r>
    <n v="474471"/>
    <s v="Gilgal EVCS | Fill Nxt | Valakom"/>
    <s v="Valakom"/>
    <s v="Kerala"/>
    <s v="India"/>
    <n v="8.9629576830000008"/>
    <n v="76.835557640000005"/>
    <n v="2"/>
    <s v="Operational"/>
    <s v="ChargeMod (IN)"/>
    <n v="1"/>
    <n v="2"/>
    <x v="1"/>
  </r>
  <r>
    <n v="474470"/>
    <s v="M Square EVOK | Kureepuzha"/>
    <s v="Kollam"/>
    <s v="Kerala"/>
    <s v="India"/>
    <n v="8.9213146250000008"/>
    <n v="76.576369709999994"/>
    <n v="2"/>
    <s v="Operational"/>
    <s v="ChargeMod (IN)"/>
    <n v="1"/>
    <n v="2"/>
    <x v="1"/>
  </r>
  <r>
    <n v="474467"/>
    <s v="JKV Powern Hub EVCS | Palayam"/>
    <s v="Thiruvananthapuram"/>
    <s v="Kerala"/>
    <s v="India"/>
    <n v="8.5004760449999992"/>
    <n v="76.952289640000004"/>
    <n v="2"/>
    <s v="Operational"/>
    <s v="ChargeMod (IN)"/>
    <n v="1"/>
    <n v="2"/>
    <x v="1"/>
  </r>
  <r>
    <n v="474466"/>
    <s v="JKV Powern Hub EVCS | Palayam"/>
    <s v="Thiruvananthapuram"/>
    <s v="Kerala"/>
    <s v="India"/>
    <n v="8.5004760449999992"/>
    <n v="76.952289640000004"/>
    <n v="2"/>
    <s v="Operational"/>
    <s v="ChargeMod (IN)"/>
    <n v="1"/>
    <n v="2"/>
    <x v="1"/>
  </r>
  <r>
    <n v="474464"/>
    <s v="Illam Chacka"/>
    <s v="Thriuvananthapuram"/>
    <s v="Kerala"/>
    <s v="India"/>
    <n v="8.4918428640000005"/>
    <n v="76.920168200000006"/>
    <n v="2"/>
    <s v="Operational"/>
    <s v="ChargeMod (IN)"/>
    <n v="1"/>
    <n v="2"/>
    <x v="1"/>
  </r>
  <r>
    <n v="474463"/>
    <s v="EV Park ECVS Kazhakkoottam | Karthika Park Hotel"/>
    <s v="Thiruvananthapuram"/>
    <s v="Kerala"/>
    <s v="India"/>
    <n v="8.5726519650000004"/>
    <n v="76.870401259999994"/>
    <n v="2"/>
    <s v="Operational"/>
    <s v="ChargeMod (IN)"/>
    <n v="1"/>
    <n v="2"/>
    <x v="1"/>
  </r>
  <r>
    <n v="474191"/>
    <s v="Viraj Junction EFill EVCS"/>
    <s v="NH48"/>
    <s v="Karnataka"/>
    <s v="India"/>
    <n v="16.536666790000002"/>
    <n v="74.319957639999998"/>
    <n v="2"/>
    <s v="Operational"/>
    <s v="Tata Power"/>
    <n v="1"/>
    <n v="2"/>
    <x v="11"/>
  </r>
  <r>
    <n v="472811"/>
    <s v="Tata PowerYamuna Expressway Mathura RHS"/>
    <s v="Yamuna Expressway"/>
    <s v="Uttar Pradesh"/>
    <s v="India"/>
    <n v="27.612047010000001"/>
    <n v="77.741850729999996"/>
    <n v="2"/>
    <s v="Operational"/>
    <s v="Tata Power"/>
    <n v="1"/>
    <n v="2"/>
    <x v="2"/>
  </r>
  <r>
    <n v="472810"/>
    <s v="Tata Power Yamuna Expressway Mathura Exit LHS"/>
    <s v="Yamuna Expressway"/>
    <s v="Uttar Pradesh"/>
    <s v="India"/>
    <n v="27.55039597"/>
    <n v="77.755062640000006"/>
    <n v="2"/>
    <s v="Operational"/>
    <s v="Tata Power"/>
    <n v="1"/>
    <n v="2"/>
    <x v="2"/>
  </r>
  <r>
    <n v="471855"/>
    <s v="K2 Highway Treat &amp; Resort"/>
    <s v="Guna"/>
    <s v="Unknown"/>
    <s v="India"/>
    <n v="24.68468468"/>
    <n v="77.337371489999995"/>
    <n v="2"/>
    <s v="Operational"/>
    <s v="Chargezone (India)"/>
    <n v="1"/>
    <n v="2"/>
    <x v="6"/>
  </r>
  <r>
    <n v="471854"/>
    <s v="Green Mountain Resort"/>
    <s v="Guna"/>
    <s v="Madhya Pradesh"/>
    <s v="India"/>
    <n v="24.540540539999999"/>
    <n v="77.208677840000007"/>
    <n v="2"/>
    <s v="Operational"/>
    <s v="Chargezone (India)"/>
    <n v="1"/>
    <n v="2"/>
    <x v="12"/>
  </r>
  <r>
    <n v="471853"/>
    <s v="Hotel Shivani"/>
    <s v="Biora"/>
    <s v="Madhya Pradesh"/>
    <s v="India"/>
    <n v="23.963963960000001"/>
    <n v="76.938304029999998"/>
    <n v="2"/>
    <s v="Operational"/>
    <s v="Chargezone (India)"/>
    <n v="1"/>
    <n v="2"/>
    <x v="12"/>
  </r>
  <r>
    <n v="470760"/>
    <s v="Aravai Aanandas"/>
    <s v="Karur"/>
    <s v="Tamil Nadu"/>
    <s v="India"/>
    <n v="10.777438999999999"/>
    <n v="77.920824999999994"/>
    <n v="2"/>
    <s v="Operational"/>
    <s v="Hydra Charging (IN)"/>
    <n v="1"/>
    <n v="2"/>
    <x v="4"/>
  </r>
  <r>
    <n v="469744"/>
    <s v="Volttic LHS DME"/>
    <s v="Rajpura"/>
    <s v="Rajasthan"/>
    <s v="India"/>
    <n v="27.28713106"/>
    <n v="76.77469481"/>
    <n v="2"/>
    <s v="Operational"/>
    <s v="Volttic (IN)"/>
    <n v="1"/>
    <n v="2"/>
    <x v="5"/>
  </r>
  <r>
    <n v="469742"/>
    <s v="Avantika Resort EV Cosmos"/>
    <s v="Dahod"/>
    <s v="Gujarat"/>
    <s v="India"/>
    <n v="22.81045962"/>
    <n v="74.300685220000005"/>
    <n v="2"/>
    <s v="Operational"/>
    <s v="JIO BP Pulse (India)"/>
    <n v="1"/>
    <n v="2"/>
    <x v="8"/>
  </r>
  <r>
    <n v="469522"/>
    <s v="Regenta Fairlark"/>
    <s v="Vadodara"/>
    <s v="Gujarat"/>
    <s v="India"/>
    <n v="22.287645149999999"/>
    <n v="73.132225790000007"/>
    <n v="2"/>
    <s v="Operational"/>
    <s v="JIO BP Pulse (India)"/>
    <n v="1"/>
    <n v="2"/>
    <x v="8"/>
  </r>
  <r>
    <n v="469487"/>
    <s v="Hyundai EV Chg Stn Manor"/>
    <s v="Manor"/>
    <s v="MH"/>
    <s v="India"/>
    <n v="19.677940660000001"/>
    <n v="72.908046170000006"/>
    <n v="2"/>
    <s v="Operational"/>
    <s v="Chargezone (India)"/>
    <n v="1"/>
    <n v="2"/>
    <x v="10"/>
  </r>
  <r>
    <n v="469357"/>
    <s v="Tata Power- Ginger Hotel Pantnagar"/>
    <s v="Rudrapur"/>
    <s v="Uttarakhnad"/>
    <s v="India"/>
    <n v="28.998167110000001"/>
    <n v="79.415785760000006"/>
    <n v="2"/>
    <s v="Operational"/>
    <s v="Tata Power"/>
    <n v="1"/>
    <n v="2"/>
    <x v="13"/>
  </r>
  <r>
    <n v="464531"/>
    <s v="GLIDA JANESHWAR MISHRA PARK "/>
    <s v="LUCKNOW"/>
    <s v="Uttar Pradesh"/>
    <s v="India"/>
    <n v="26.83799922"/>
    <n v="80.986727040000005"/>
    <n v="2"/>
    <s v="Operational"/>
    <s v="GE WattStation (No longer active)"/>
    <n v="1"/>
    <n v="2"/>
    <x v="2"/>
  </r>
  <r>
    <n v="464405"/>
    <s v="Khajuraho Airport"/>
    <s v="Khajuraho"/>
    <s v="MP"/>
    <s v="India"/>
    <n v="24.810179059999999"/>
    <n v="79.91151232"/>
    <n v="2"/>
    <s v="Operational"/>
    <s v="Adani Gas-EV (TR)"/>
    <n v="1"/>
    <n v="2"/>
    <x v="12"/>
  </r>
  <r>
    <n v="459990"/>
    <s v="Jio-BP Pulse"/>
    <s v="Yellagallahalli"/>
    <s v="Unknown"/>
    <s v="India"/>
    <n v="13.6062729"/>
    <n v="77.787274699999998"/>
    <n v="2"/>
    <s v="Operational"/>
    <s v="JIO BP Pulse (India)"/>
    <n v="1"/>
    <n v="2"/>
    <x v="6"/>
  </r>
  <r>
    <n v="458918"/>
    <s v="Tata.ev Luxon Motors - Tata Power"/>
    <s v="Edappally"/>
    <s v="Kerala"/>
    <s v="India"/>
    <n v="10.01148474"/>
    <n v="76.311387499999995"/>
    <n v="2"/>
    <s v="Operational"/>
    <s v="Tata Power"/>
    <n v="1"/>
    <n v="2"/>
    <x v="1"/>
  </r>
  <r>
    <n v="458910"/>
    <s v="IOCL Thiruvonam Fuels - Tata Power"/>
    <s v="Palakkad"/>
    <s v="Kerala"/>
    <s v="India"/>
    <n v="10.76983098"/>
    <n v="76.668096500000004"/>
    <n v="2"/>
    <s v="Operational"/>
    <s v="Tata Power"/>
    <n v="1"/>
    <n v="2"/>
    <x v="1"/>
  </r>
  <r>
    <n v="458907"/>
    <s v="Tata.ev Hyson Motors - Tata Power"/>
    <s v="Thrissur"/>
    <s v="Kerala"/>
    <s v="India"/>
    <n v="10.496728470000001"/>
    <n v="76.258361309999998"/>
    <n v="2"/>
    <s v="Operational"/>
    <s v="Tata Power"/>
    <n v="1"/>
    <n v="2"/>
    <x v="1"/>
  </r>
  <r>
    <n v="458905"/>
    <s v="TML Hyson Motors - Tata Power"/>
    <s v="Thrissur"/>
    <s v="Kerala"/>
    <s v="India"/>
    <n v="10.54042299"/>
    <n v="76.18967782"/>
    <n v="2"/>
    <s v="Operational"/>
    <s v="Tata Power"/>
    <n v="1"/>
    <n v="2"/>
    <x v="1"/>
  </r>
  <r>
    <n v="458904"/>
    <s v="Hotel Gokulam Sabari - Tata Power"/>
    <s v="Guruvayur"/>
    <s v="Kerala"/>
    <s v="India"/>
    <n v="10.596356979999999"/>
    <n v="76.042934430000003"/>
    <n v="2"/>
    <s v="Operational"/>
    <s v="Tata Power"/>
    <n v="1"/>
    <n v="2"/>
    <x v="1"/>
  </r>
  <r>
    <n v="313991"/>
    <s v="Tata.ev Store Malappuram"/>
    <s v="Malappuram"/>
    <s v="Kerala"/>
    <s v="India"/>
    <n v="11.052515250000001"/>
    <n v="76.077640450000004"/>
    <n v="2"/>
    <s v="Operational"/>
    <s v="Tata Power"/>
    <n v="1"/>
    <n v="2"/>
    <x v="1"/>
  </r>
  <r>
    <n v="313989"/>
    <s v="Hotel Gokulam Relax Park"/>
    <s v="Manjeri"/>
    <s v="Kerala"/>
    <s v="India"/>
    <n v="11.118906109999999"/>
    <n v="76.118473739999999"/>
    <n v="2"/>
    <s v="Operational"/>
    <s v="Tata Power"/>
    <n v="1"/>
    <n v="2"/>
    <x v="1"/>
  </r>
  <r>
    <n v="313988"/>
    <s v="One Stop Automotive Cahrging Station - Tata Power"/>
    <s v="Edavanna"/>
    <s v="Kerala"/>
    <s v="India"/>
    <n v="11.2041462"/>
    <n v="76.136733530000001"/>
    <n v="2"/>
    <s v="Operational"/>
    <s v="Tata Power"/>
    <n v="1"/>
    <n v="2"/>
    <x v="1"/>
  </r>
  <r>
    <n v="313978"/>
    <s v="Calicut Airport Charging Station - Tata Power"/>
    <s v="Kondotty"/>
    <s v="Kerala"/>
    <s v="India"/>
    <n v="11.14029227"/>
    <n v="75.948313709999994"/>
    <n v="2"/>
    <s v="Operational"/>
    <s v="Tata Power"/>
    <n v="1"/>
    <n v="2"/>
    <x v="1"/>
  </r>
  <r>
    <n v="313955"/>
    <s v="TML Marina Motors - Tata Power"/>
    <s v="Kozhikode"/>
    <s v="Kerala"/>
    <s v="India"/>
    <n v="11.216965269999999"/>
    <n v="75.857951060000005"/>
    <n v="2"/>
    <s v="Operational"/>
    <s v="Tata Power"/>
    <n v="1"/>
    <n v="2"/>
    <x v="1"/>
  </r>
  <r>
    <n v="313951"/>
    <s v="Hotel Hyson Heritage - Tata Power"/>
    <s v="Kozhikode"/>
    <s v="Kerala"/>
    <s v="India"/>
    <n v="11.259214500000001"/>
    <n v="75.779334520000006"/>
    <n v="2"/>
    <s v="Operational"/>
    <s v="Tata Power"/>
    <n v="1"/>
    <n v="2"/>
    <x v="1"/>
  </r>
  <r>
    <n v="313950"/>
    <s v="Taj The Gateway Hotel - Tata Power"/>
    <s v="Kozhikode"/>
    <s v="Kerala"/>
    <s v="India"/>
    <n v="11.258689820000001"/>
    <n v="75.773978709999994"/>
    <n v="2"/>
    <s v="Operational"/>
    <s v="Tata Power"/>
    <n v="1"/>
    <n v="2"/>
    <x v="1"/>
  </r>
  <r>
    <n v="313949"/>
    <s v="Taj The Gateway Hotel - Tata Power"/>
    <s v="Kozhikode"/>
    <s v="Kerala"/>
    <s v="India"/>
    <n v="11.259029050000001"/>
    <n v="75.773708389999996"/>
    <n v="2"/>
    <s v="Operational"/>
    <s v="Tata Power"/>
    <n v="1"/>
    <n v="2"/>
    <x v="1"/>
  </r>
  <r>
    <n v="313945"/>
    <s v="Hotel Saugandhika Charging Station - Tata Power"/>
    <s v="Meenangadi"/>
    <s v="Kerala"/>
    <s v="India"/>
    <n v="11.659328260000001"/>
    <n v="76.207185229999993"/>
    <n v="2"/>
    <s v="Operational"/>
    <s v="Tata Power"/>
    <n v="1"/>
    <n v="2"/>
    <x v="1"/>
  </r>
  <r>
    <n v="313943"/>
    <s v="Taj Wayanad Resort and Spa- Tata Power"/>
    <s v="Padinjarathara"/>
    <s v="Kerala"/>
    <s v="India"/>
    <n v="11.65763336"/>
    <n v="75.960431779999993"/>
    <n v="2"/>
    <s v="Operational"/>
    <s v="Tata Power"/>
    <n v="1"/>
    <n v="2"/>
    <x v="1"/>
  </r>
  <r>
    <n v="313925"/>
    <s v="KVR Dream Vehicle - Tata Power"/>
    <s v="Nadal"/>
    <s v="Kerala"/>
    <s v="India"/>
    <n v="11.832856720000001"/>
    <n v="75.426441699999998"/>
    <n v="2"/>
    <s v="Operational"/>
    <s v="Tata Power"/>
    <n v="1"/>
    <n v="2"/>
    <x v="1"/>
  </r>
  <r>
    <n v="313924"/>
    <s v="Tata.ev KVR Dreams Kannur - Tata Power"/>
    <s v="Kannur"/>
    <s v="Kerala"/>
    <s v="India"/>
    <n v="11.86083034"/>
    <n v="75.411867779999994"/>
    <n v="2"/>
    <s v="Operational"/>
    <s v="Tata Power"/>
    <n v="1"/>
    <n v="2"/>
    <x v="1"/>
  </r>
  <r>
    <n v="313921"/>
    <s v="Taj Bekkal - Tata Power"/>
    <s v="Bekkal"/>
    <s v="Kerala"/>
    <s v="India"/>
    <n v="12.423383279999999"/>
    <n v="75.014754800000006"/>
    <n v="2"/>
    <s v="Operational"/>
    <s v="Tata Power"/>
    <n v="1"/>
    <n v="2"/>
    <x v="1"/>
  </r>
  <r>
    <n v="313913"/>
    <s v="Karthika Residency Hotel EVCS - GO EC"/>
    <s v="Karette"/>
    <s v="Kerala"/>
    <s v="India"/>
    <n v="8.7288458660000003"/>
    <n v="76.898447509999997"/>
    <n v="2"/>
    <s v="Operational"/>
    <s v="GO EC (IN)"/>
    <n v="1"/>
    <n v="2"/>
    <x v="1"/>
  </r>
  <r>
    <n v="313911"/>
    <s v="Aeron EVCS - GO EC"/>
    <s v="Attingal"/>
    <s v="Kerala"/>
    <s v="India"/>
    <n v="8.6868080459999995"/>
    <n v="76.824022330000005"/>
    <n v="2"/>
    <s v="Operational"/>
    <s v="GO EC (IN)"/>
    <n v="1"/>
    <n v="2"/>
    <x v="1"/>
  </r>
  <r>
    <n v="313908"/>
    <s v="Power Up EVCS - GO EC"/>
    <s v="Varkala"/>
    <s v="Kerala"/>
    <s v="India"/>
    <n v="8.7490860500000007"/>
    <n v="76.705818590000007"/>
    <n v="2"/>
    <s v="Operational"/>
    <s v="GO EC (IN)"/>
    <n v="1"/>
    <n v="2"/>
    <x v="1"/>
  </r>
  <r>
    <n v="313907"/>
    <s v="Green Planet EVCS - GO EC"/>
    <s v="Kottarakkara"/>
    <s v="Kerala"/>
    <s v="India"/>
    <n v="8.9821433410000004"/>
    <n v="76.809329660000003"/>
    <n v="2"/>
    <s v="Operational"/>
    <s v="GO EC (IN)"/>
    <n v="1"/>
    <n v="2"/>
    <x v="1"/>
  </r>
  <r>
    <n v="313906"/>
    <s v="RK EVCS - GO EC"/>
    <s v="Kundara"/>
    <s v="Kerala"/>
    <s v="India"/>
    <n v="8.9482466259999995"/>
    <n v="76.64624714"/>
    <n v="2"/>
    <s v="Operational"/>
    <s v="GO EC (IN)"/>
    <n v="1"/>
    <n v="2"/>
    <x v="1"/>
  </r>
  <r>
    <n v="313905"/>
    <s v="SK EVCS - GO EC"/>
    <s v="Pathanapuram"/>
    <s v="Kerala"/>
    <s v="India"/>
    <n v="9.0709916459999995"/>
    <n v="76.856311230000003"/>
    <n v="2"/>
    <s v="Operational"/>
    <s v="GO EC (IN)"/>
    <n v="1"/>
    <n v="2"/>
    <x v="1"/>
  </r>
  <r>
    <n v="313904"/>
    <s v="Erathu Motors EVCS - GO EC"/>
    <s v="Puthoor"/>
    <s v="Kerala"/>
    <s v="India"/>
    <n v="9.0513674030000004"/>
    <n v="76.703246960000001"/>
    <n v="2"/>
    <s v="Operational"/>
    <s v="GO EC (IN)"/>
    <n v="1"/>
    <n v="2"/>
    <x v="1"/>
  </r>
  <r>
    <n v="313899"/>
    <s v="Sparkzone EVCS - GO EC"/>
    <s v="Kayamkulam"/>
    <s v="Kerala"/>
    <s v="India"/>
    <n v="9.145794596"/>
    <n v="76.45936322"/>
    <n v="2"/>
    <s v="Operational"/>
    <s v="GO EC (IN)"/>
    <n v="1"/>
    <n v="2"/>
    <x v="1"/>
  </r>
  <r>
    <n v="313896"/>
    <s v="V Volte EVCS - GO EC"/>
    <s v="Haripad"/>
    <s v="Kerala"/>
    <s v="India"/>
    <n v="9.2890008339999994"/>
    <n v="76.456535689999995"/>
    <n v="2"/>
    <s v="Operational"/>
    <s v="GO EC (IN)"/>
    <n v="1"/>
    <n v="2"/>
    <x v="1"/>
  </r>
  <r>
    <n v="313895"/>
    <s v="Anjaly EVCS - GO EC"/>
    <s v="Omallor"/>
    <s v="Kerala"/>
    <s v="India"/>
    <n v="9.2469354020000001"/>
    <n v="76.757307789999999"/>
    <n v="2"/>
    <s v="Operational"/>
    <s v="GO EC (IN)"/>
    <n v="1"/>
    <n v="2"/>
    <x v="1"/>
  </r>
  <r>
    <n v="313892"/>
    <s v="Amrutham Auto Care EVCS - GO EC"/>
    <s v="Chengannur"/>
    <s v="Kerala"/>
    <s v="India"/>
    <n v="9.3421447230000005"/>
    <n v="76.598487840000004"/>
    <n v="2"/>
    <s v="Operational"/>
    <s v="GO EC (IN)"/>
    <n v="1"/>
    <n v="2"/>
    <x v="1"/>
  </r>
  <r>
    <n v="313891"/>
    <s v="Changanassery Immaculate Mary EVCS"/>
    <s v="Changanassery"/>
    <s v="Kerala"/>
    <s v="India"/>
    <n v="9.4598602179999993"/>
    <n v="76.555183589999999"/>
    <n v="2"/>
    <s v="Operational"/>
    <s v="GO EC (IN)"/>
    <n v="1"/>
    <n v="2"/>
    <x v="1"/>
  </r>
  <r>
    <n v="313888"/>
    <s v="GO EC Charging Station"/>
    <s v="Idukki"/>
    <s v="Kerala"/>
    <s v="India"/>
    <n v="9.6653988200000001"/>
    <n v="77.160846950000007"/>
    <n v="2"/>
    <s v="Operational"/>
    <s v="GO EC (IN)"/>
    <n v="1"/>
    <n v="2"/>
    <x v="1"/>
  </r>
  <r>
    <n v="313887"/>
    <s v="Sora EVCS - GO EC"/>
    <s v="Kumali"/>
    <s v="Kerala"/>
    <s v="India"/>
    <n v="9.6144458349999997"/>
    <n v="77.153909909999996"/>
    <n v="2"/>
    <s v="Operational"/>
    <s v="GO EC (IN)"/>
    <n v="1"/>
    <n v="2"/>
    <x v="1"/>
  </r>
  <r>
    <n v="313884"/>
    <s v="Clay Art Cafe - GO EC"/>
    <s v="Ponkunnam"/>
    <s v="Kerala"/>
    <s v="India"/>
    <n v="9.566378512"/>
    <n v="76.741607509999994"/>
    <n v="2"/>
    <s v="Operational"/>
    <s v="GO EC (IN)"/>
    <n v="1"/>
    <n v="2"/>
    <x v="1"/>
  </r>
  <r>
    <n v="313883"/>
    <s v="GO Green EVCS"/>
    <s v="Anthikkad"/>
    <s v="Kerala"/>
    <s v="India"/>
    <n v="9.7539997219999997"/>
    <n v="76.701278959999996"/>
    <n v="2"/>
    <s v="Operational"/>
    <s v="GO EC (IN)"/>
    <n v="1"/>
    <n v="2"/>
    <x v="1"/>
  </r>
  <r>
    <n v="313880"/>
    <s v="Chaithanya Hospital EVCS - GO EC"/>
    <s v="Kuravilangad"/>
    <s v="Kerala"/>
    <s v="India"/>
    <n v="9.7619238409999998"/>
    <n v="76.564722529999997"/>
    <n v="2"/>
    <s v="Operational"/>
    <s v="GO EC (IN)"/>
    <n v="1"/>
    <n v="2"/>
    <x v="1"/>
  </r>
  <r>
    <n v="313878"/>
    <s v="Kalladanthiyil EVCS - GO EC"/>
    <s v="Neendoor"/>
    <s v="Kerala"/>
    <s v="India"/>
    <n v="9.6833368800000006"/>
    <n v="76.505593809999993"/>
    <n v="2"/>
    <s v="Operational"/>
    <s v="GO EC (IN)"/>
    <n v="1"/>
    <n v="2"/>
    <x v="1"/>
  </r>
  <r>
    <n v="313876"/>
    <s v="Hotel Athira Residency EVCS - GO EC"/>
    <s v="Kottayam"/>
    <s v="Kerala"/>
    <s v="India"/>
    <n v="9.5782587679999995"/>
    <n v="76.519470560000002"/>
    <n v="2"/>
    <s v="Operational"/>
    <s v="GO EC (IN)"/>
    <n v="1"/>
    <n v="2"/>
    <x v="1"/>
  </r>
  <r>
    <n v="313868"/>
    <s v="Tribute Royale EVCS - GO EC"/>
    <s v="Maradu"/>
    <s v="Kerala"/>
    <s v="India"/>
    <n v="9.9477583599999999"/>
    <n v="76.31854611"/>
    <n v="2"/>
    <s v="Operational"/>
    <s v="GO EC (IN)"/>
    <n v="1"/>
    <n v="2"/>
    <x v="1"/>
  </r>
  <r>
    <n v="313866"/>
    <s v="EC City Centre EVCS - GO EC"/>
    <s v="Ernakulam"/>
    <s v="Kerala"/>
    <s v="India"/>
    <n v="9.9651944920000002"/>
    <n v="76.296623210000007"/>
    <n v="2"/>
    <s v="Operational"/>
    <s v="GO EC (IN)"/>
    <n v="1"/>
    <n v="2"/>
    <x v="1"/>
  </r>
  <r>
    <n v="313865"/>
    <s v="Monsoon Empress Hotel EVCS"/>
    <s v="Palarivattom"/>
    <s v="Kerala"/>
    <s v="India"/>
    <n v="9.9959595790000009"/>
    <n v="76.314102180000006"/>
    <n v="2"/>
    <s v="Operational"/>
    <s v="GO EC (IN)"/>
    <n v="1"/>
    <n v="2"/>
    <x v="1"/>
  </r>
  <r>
    <n v="313864"/>
    <s v="Max EVCS - GO EC"/>
    <s v="Palarivattom"/>
    <s v="Kerala"/>
    <s v="India"/>
    <n v="9.9984993339999999"/>
    <n v="76.31386096"/>
    <n v="2"/>
    <s v="Operational"/>
    <s v="GO EC (IN)"/>
    <n v="1"/>
    <n v="2"/>
    <x v="1"/>
  </r>
  <r>
    <n v="313863"/>
    <s v="Park Residency EVCS - GO EC"/>
    <s v="Kakkanad"/>
    <s v="Kerala"/>
    <s v="India"/>
    <n v="10.01465881"/>
    <n v="76.342400600000005"/>
    <n v="2"/>
    <s v="Operational"/>
    <s v="GO EC (IN)"/>
    <n v="1"/>
    <n v="2"/>
    <x v="1"/>
  </r>
  <r>
    <n v="313860"/>
    <s v="Oberon Mall EVCS - GO EC"/>
    <s v="Edapally"/>
    <s v="Kerala"/>
    <s v="India"/>
    <n v="10.014373320000001"/>
    <n v="76.312532739999995"/>
    <n v="2"/>
    <s v="Operational"/>
    <s v="GO EC (IN)"/>
    <n v="1"/>
    <n v="2"/>
    <x v="1"/>
  </r>
  <r>
    <n v="313854"/>
    <s v="Athani Energize EVCS"/>
    <s v="Athani"/>
    <s v="Kerala"/>
    <s v="India"/>
    <n v="10.14144398"/>
    <n v="76.352933829999998"/>
    <n v="2"/>
    <s v="Operational"/>
    <s v="GO EC (IN)"/>
    <n v="1"/>
    <n v="2"/>
    <x v="1"/>
  </r>
  <r>
    <n v="313852"/>
    <s v="V-Green EVCS - GO EC"/>
    <s v="Angamaly"/>
    <s v="Kerala"/>
    <s v="India"/>
    <n v="10.20178009"/>
    <n v="76.409661619999994"/>
    <n v="2"/>
    <s v="Operational"/>
    <s v="GO EC (IN)"/>
    <n v="1"/>
    <n v="2"/>
    <x v="1"/>
  </r>
  <r>
    <n v="313849"/>
    <s v="Koratty Chennai Anandabhavan EVCS - GO EC"/>
    <s v="Koratty"/>
    <s v="Kerala"/>
    <s v="India"/>
    <n v="10.27724459"/>
    <n v="76.344528080000003"/>
    <n v="2"/>
    <s v="Operational"/>
    <s v="GO EC (IN)"/>
    <n v="1"/>
    <n v="2"/>
    <x v="1"/>
  </r>
  <r>
    <n v="313847"/>
    <s v="Kodungallur SVS - GO EC"/>
    <s v="Kodungallur"/>
    <s v="Kerala"/>
    <s v="India"/>
    <n v="10.211292050000001"/>
    <n v="76.198988670000006"/>
    <n v="2"/>
    <s v="Operational"/>
    <s v="GO EC (IN)"/>
    <n v="1"/>
    <n v="2"/>
    <x v="1"/>
  </r>
  <r>
    <n v="313836"/>
    <s v="Sree Sankara EVCS - GO EC"/>
    <s v="Vadanappalli"/>
    <s v="Kerala"/>
    <s v="India"/>
    <n v="10.4872912"/>
    <n v="76.070836119999996"/>
    <n v="2"/>
    <s v="Operational"/>
    <s v="GO EC (IN)"/>
    <n v="1"/>
    <n v="2"/>
    <x v="1"/>
  </r>
  <r>
    <n v="313835"/>
    <s v="Green Drive EV Super Charging Station"/>
    <s v="Vadanappilly"/>
    <s v="Kerala"/>
    <s v="India"/>
    <n v="10.494542470000001"/>
    <n v="76.065847439999999"/>
    <n v="2"/>
    <s v="Operational"/>
    <s v="GO EC (IN)"/>
    <n v="1"/>
    <n v="2"/>
    <x v="1"/>
  </r>
  <r>
    <n v="313818"/>
    <s v="Palakkad Ahalia Women and Childern Hospital EVCS - GO EC"/>
    <s v="Elappully"/>
    <s v="Kerala"/>
    <s v="India"/>
    <n v="10.79730859"/>
    <n v="76.827540810000002"/>
    <n v="2"/>
    <s v="Operational"/>
    <s v="GO EC (IN)"/>
    <n v="1"/>
    <n v="2"/>
    <x v="1"/>
  </r>
  <r>
    <n v="313817"/>
    <s v="Palakkad Ahalia Eye Hospital EVCS - GO EC"/>
    <s v="Elappully"/>
    <s v="Kerala"/>
    <s v="India"/>
    <n v="10.79348727"/>
    <n v="76.82652951"/>
    <n v="2"/>
    <s v="Operational"/>
    <s v="GO EC (IN)"/>
    <n v="1"/>
    <n v="2"/>
    <x v="1"/>
  </r>
  <r>
    <n v="313816"/>
    <s v="Palakkad Ahalia Food Point EVCS - GO EC"/>
    <s v="Elappully"/>
    <s v="Kerala"/>
    <s v="India"/>
    <n v="10.792032259999999"/>
    <n v="76.828347120000004"/>
    <n v="2"/>
    <s v="Operational"/>
    <s v="GO EC (IN)"/>
    <n v="1"/>
    <n v="2"/>
    <x v="1"/>
  </r>
  <r>
    <n v="313810"/>
    <s v="Sanjeevani Green - GO EC"/>
    <s v="Thiruvilwamala"/>
    <s v="Kerala"/>
    <s v="India"/>
    <n v="10.710021709999999"/>
    <n v="76.428792939999994"/>
    <n v="2"/>
    <s v="Operational"/>
    <s v="GO EC (IN)"/>
    <n v="1"/>
    <n v="2"/>
    <x v="1"/>
  </r>
  <r>
    <n v="313789"/>
    <s v="Shalimar EVCS - GO EC"/>
    <s v="Perinthalmanna"/>
    <s v="Kerala"/>
    <s v="India"/>
    <n v="10.965296779999999"/>
    <n v="76.28389833"/>
    <n v="2"/>
    <s v="Operational"/>
    <s v="GO EC (IN)"/>
    <n v="1"/>
    <n v="2"/>
    <x v="1"/>
  </r>
  <r>
    <n v="313787"/>
    <s v="Environ EVCS"/>
    <s v="Changaramkulam"/>
    <s v="Kerala"/>
    <s v="India"/>
    <n v="10.73956943"/>
    <n v="76.029272509999998"/>
    <n v="2"/>
    <s v="Operational"/>
    <s v="GO EC (IN)"/>
    <n v="1"/>
    <n v="2"/>
    <x v="1"/>
  </r>
  <r>
    <n v="313774"/>
    <s v="Mall of Mukkom EVCS - GO EC"/>
    <s v="Mukkom"/>
    <s v="Kerala"/>
    <s v="India"/>
    <n v="11.31972723"/>
    <n v="75.995517109999994"/>
    <n v="2"/>
    <s v="Operational"/>
    <s v="GO EC (IN)"/>
    <n v="1"/>
    <n v="2"/>
    <x v="1"/>
  </r>
  <r>
    <n v="313762"/>
    <s v="Calicut Malabar Gold - GO EC"/>
    <s v="Kozhikode"/>
    <s v="Kerala"/>
    <s v="India"/>
    <n v="11.257861800000001"/>
    <n v="75.780230599999996"/>
    <n v="2"/>
    <s v="Operational"/>
    <s v="GO EC (IN)"/>
    <n v="1"/>
    <n v="2"/>
    <x v="1"/>
  </r>
  <r>
    <n v="313758"/>
    <s v="G Mall - GO EC"/>
    <s v="Kannur"/>
    <s v="Kerala"/>
    <s v="India"/>
    <n v="11.88020075"/>
    <n v="75.374664789999997"/>
    <n v="2"/>
    <s v="Operational"/>
    <s v="GO EC (IN)"/>
    <n v="1"/>
    <n v="2"/>
    <x v="1"/>
  </r>
  <r>
    <n v="313757"/>
    <s v="Exit 17 - GO EC"/>
    <s v="Payyannur"/>
    <s v="Kerala"/>
    <s v="India"/>
    <n v="12.08863773"/>
    <n v="75.252645849999993"/>
    <n v="2"/>
    <s v="Operational"/>
    <s v="GO EC (IN)"/>
    <n v="1"/>
    <n v="2"/>
    <x v="1"/>
  </r>
  <r>
    <n v="313751"/>
    <s v="EQ Point EVCS - ChargeMOD"/>
    <s v="Payyannur"/>
    <s v="Kerala"/>
    <s v="India"/>
    <n v="12.20776624"/>
    <n v="75.279452129999996"/>
    <n v="2"/>
    <s v="Operational"/>
    <s v="ChargeMod (IN)"/>
    <n v="1"/>
    <n v="2"/>
    <x v="1"/>
  </r>
  <r>
    <n v="313750"/>
    <s v="PCR Bank EVCS - ChargeMOD"/>
    <s v="Bakkalam"/>
    <s v="Kerala"/>
    <s v="India"/>
    <n v="11.99744945"/>
    <n v="75.370907529999997"/>
    <n v="2"/>
    <s v="Operational"/>
    <s v="ChargeMod (IN)"/>
    <n v="1"/>
    <n v="2"/>
    <x v="1"/>
  </r>
  <r>
    <n v="313742"/>
    <s v="Empire Restaurant - ChargeMOD"/>
    <s v="Tharuvana"/>
    <s v="Kerala"/>
    <s v="India"/>
    <n v="11.73640531"/>
    <n v="75.986744229999999"/>
    <n v="2"/>
    <s v="Operational"/>
    <s v="ChargeMod (IN)"/>
    <n v="1"/>
    <n v="2"/>
    <x v="1"/>
  </r>
  <r>
    <n v="313741"/>
    <s v="Hotel Wayanad Square - ChargeMOD"/>
    <s v="Mananthavady"/>
    <s v="Kerala"/>
    <s v="India"/>
    <n v="11.79697764"/>
    <n v="76.006601130000007"/>
    <n v="2"/>
    <s v="Operational"/>
    <s v="ChargeMod (IN)"/>
    <n v="1"/>
    <n v="2"/>
    <x v="1"/>
  </r>
  <r>
    <n v="313739"/>
    <s v="Meenangadi EVCS - ChargeMOD"/>
    <s v="Meenangadi"/>
    <s v="Kerala"/>
    <s v="India"/>
    <n v="11.654045699999999"/>
    <n v="76.153585239999998"/>
    <n v="2"/>
    <s v="Operational"/>
    <s v="ChargeMod (IN)"/>
    <n v="1"/>
    <n v="2"/>
    <x v="1"/>
  </r>
  <r>
    <n v="313734"/>
    <s v="Yadav EV Charging Station - ChargeMOD"/>
    <s v="Kunnamangalam"/>
    <s v="Kerala"/>
    <s v="India"/>
    <n v="11.311692150000001"/>
    <n v="75.882593400000005"/>
    <n v="2"/>
    <s v="Operational"/>
    <s v="ChargeMod (IN)"/>
    <n v="1"/>
    <n v="2"/>
    <x v="1"/>
  </r>
  <r>
    <n v="313720"/>
    <s v="Barakah Tiles and Stones | EVOK | Thenhipalam"/>
    <s v="Pingottoormad"/>
    <s v="Kerala"/>
    <s v="India"/>
    <n v="11.14491898"/>
    <n v="75.896169760000006"/>
    <n v="2"/>
    <s v="Operational"/>
    <s v="ChargeMod (IN)"/>
    <n v="1"/>
    <n v="2"/>
    <x v="1"/>
  </r>
  <r>
    <n v="313718"/>
    <s v="Relax Point Restaurant"/>
    <s v="Karippol"/>
    <s v="Kerala"/>
    <s v="India"/>
    <n v="10.92282041"/>
    <n v="76.032918409999994"/>
    <n v="2"/>
    <s v="Operational"/>
    <s v="ChargeMod (IN)"/>
    <n v="1"/>
    <n v="2"/>
    <x v="1"/>
  </r>
  <r>
    <n v="313717"/>
    <s v="Thirunilath ECVS Charging Station - ChargeMOD"/>
    <s v="Kottakkal"/>
    <s v="Kerala"/>
    <s v="India"/>
    <n v="11.001726590000001"/>
    <n v="75.980449419999999"/>
    <n v="2"/>
    <s v="Operational"/>
    <s v="ChargeMod (IN)"/>
    <n v="1"/>
    <n v="2"/>
    <x v="1"/>
  </r>
  <r>
    <n v="313713"/>
    <s v="EcoCharge EVCS - ChargeMOD"/>
    <s v="Pandikkad"/>
    <s v="Kerala"/>
    <s v="India"/>
    <n v="11.09639986"/>
    <n v="76.210707049999996"/>
    <n v="2"/>
    <s v="Operational"/>
    <s v="ChargeMod (IN)"/>
    <n v="1"/>
    <n v="2"/>
    <x v="1"/>
  </r>
  <r>
    <n v="313712"/>
    <s v="MKM Melattur (EVOK) - ChargeMOD"/>
    <s v="Melattur"/>
    <s v="Kerala"/>
    <s v="India"/>
    <n v="11.05620809"/>
    <n v="76.278512030000002"/>
    <n v="2"/>
    <s v="Operational"/>
    <s v="ChargeMod (IN)"/>
    <n v="1"/>
    <n v="2"/>
    <x v="1"/>
  </r>
  <r>
    <n v="313710"/>
    <s v="Hotel Mughal Park - ChargeMOD"/>
    <s v="Perinthalmanna"/>
    <s v="Kerala"/>
    <s v="India"/>
    <n v="10.977193890000001"/>
    <n v="76.221650890000006"/>
    <n v="2"/>
    <s v="Operational"/>
    <s v="ChargeMod (IN)"/>
    <n v="1"/>
    <n v="2"/>
    <x v="1"/>
  </r>
  <r>
    <n v="313709"/>
    <s v="Avenue Plaza - ChargeMOD"/>
    <s v="Mannarkkad"/>
    <s v="Kerala"/>
    <s v="India"/>
    <n v="10.98886452"/>
    <n v="76.436688509999996"/>
    <n v="2"/>
    <s v="Operational"/>
    <s v="ChargeMod (IN)"/>
    <n v="1"/>
    <n v="2"/>
    <x v="1"/>
  </r>
  <r>
    <n v="313707"/>
    <s v="Flash Charge EVCS - ChargeMOD"/>
    <s v="Kanjikkode"/>
    <s v="Kerala"/>
    <s v="India"/>
    <n v="10.80227998"/>
    <n v="76.785202990000002"/>
    <n v="2"/>
    <s v="Operational"/>
    <s v="ChargeMod (IN)"/>
    <n v="1"/>
    <n v="2"/>
    <x v="1"/>
  </r>
  <r>
    <n v="313706"/>
    <s v="Electrica EVCS - ChargeMOD"/>
    <s v="Palakkad"/>
    <s v="Kerala"/>
    <s v="India"/>
    <n v="10.78535486"/>
    <n v="76.603955679999999"/>
    <n v="2"/>
    <s v="Operational"/>
    <s v="ChargeMod (IN)"/>
    <n v="1"/>
    <n v="2"/>
    <x v="1"/>
  </r>
  <r>
    <n v="313703"/>
    <s v="Evee Buddy - ChargeMOD"/>
    <s v="Lakkidi"/>
    <s v="Kerala"/>
    <s v="India"/>
    <n v="10.77814249"/>
    <n v="76.437430379999995"/>
    <n v="2"/>
    <s v="Operational"/>
    <s v="ChargeMod (IN)"/>
    <n v="1"/>
    <n v="2"/>
    <x v="1"/>
  </r>
  <r>
    <n v="313700"/>
    <s v="Medi Mall EVCS - ChargeMOD"/>
    <s v="Pattambi"/>
    <s v="Kerala"/>
    <s v="India"/>
    <n v="10.801586110000001"/>
    <n v="76.178408430000005"/>
    <n v="2"/>
    <s v="Operational"/>
    <s v="ChargeMod (IN)"/>
    <n v="1"/>
    <n v="2"/>
    <x v="1"/>
  </r>
  <r>
    <n v="313698"/>
    <s v="Sihla Energy EVCS - ChargeMOD"/>
    <s v="Changaramkulam"/>
    <s v="Kerala"/>
    <s v="India"/>
    <n v="10.734551959999999"/>
    <n v="76.048646689999998"/>
    <n v="2"/>
    <s v="Operational"/>
    <s v="ChargeMod (IN)"/>
    <n v="1"/>
    <n v="2"/>
    <x v="1"/>
  </r>
  <r>
    <n v="313696"/>
    <s v="Maranchery Bank EVCS - ChargeMOD"/>
    <s v="Maranchery"/>
    <s v="Kerala"/>
    <s v="India"/>
    <n v="10.733824070000001"/>
    <n v="75.974813119999993"/>
    <n v="2"/>
    <s v="Operational"/>
    <s v="ChargeMod (IN)"/>
    <n v="1"/>
    <n v="2"/>
    <x v="1"/>
  </r>
  <r>
    <n v="313693"/>
    <s v="Flash Charge EVCS - ChargeMOD"/>
    <s v="Erumappetti"/>
    <s v="Kerala"/>
    <s v="India"/>
    <n v="10.681340820000001"/>
    <n v="76.169669990000003"/>
    <n v="2"/>
    <s v="Operational"/>
    <s v="ChargeMod (IN)"/>
    <n v="1"/>
    <n v="2"/>
    <x v="1"/>
  </r>
  <r>
    <n v="313683"/>
    <s v="Plug and Share Charge EVCS - ChargeMOD"/>
    <s v="Thrissur"/>
    <s v="Kerala"/>
    <s v="India"/>
    <n v="10.54056179"/>
    <n v="76.215686779999999"/>
    <n v="2"/>
    <s v="Operational"/>
    <s v="ChargeMod (IN)"/>
    <n v="1"/>
    <n v="2"/>
    <x v="1"/>
  </r>
  <r>
    <n v="313681"/>
    <s v="V8 Car Spa (EVOK) - ChargeMOD"/>
    <s v="Thrissur"/>
    <s v="Kerala"/>
    <s v="India"/>
    <n v="10.521332299999999"/>
    <n v="76.230756850000006"/>
    <n v="2"/>
    <s v="Operational"/>
    <s v="ChargeMod (IN)"/>
    <n v="1"/>
    <n v="2"/>
    <x v="1"/>
  </r>
  <r>
    <n v="313675"/>
    <s v="Surya Hotel (EVOK) - ChargeMOD"/>
    <s v="Chazhoor"/>
    <s v="Kerala"/>
    <s v="India"/>
    <n v="10.43156926"/>
    <n v="76.142559509999998"/>
    <n v="2"/>
    <s v="Operational"/>
    <s v="ChargeMod (IN)"/>
    <n v="1"/>
    <n v="2"/>
    <x v="1"/>
  </r>
  <r>
    <n v="313672"/>
    <s v="Nattika FIRKA Service Co-Operative Bank - ChargeMOD"/>
    <s v="Nattika"/>
    <s v="Kerala"/>
    <s v="India"/>
    <n v="10.40243778"/>
    <n v="76.112633079999995"/>
    <n v="2"/>
    <s v="Operational"/>
    <s v="ChargeMod (IN)"/>
    <n v="1"/>
    <n v="2"/>
    <x v="1"/>
  </r>
  <r>
    <n v="313671"/>
    <s v="Sihla Energy EVCS - ChargeMOD"/>
    <s v="Karuvannur"/>
    <s v="Kerala"/>
    <s v="India"/>
    <n v="10.408609"/>
    <n v="76.214025599999999"/>
    <n v="2"/>
    <s v="Operational"/>
    <s v="ChargeMod (IN)"/>
    <n v="1"/>
    <n v="2"/>
    <x v="1"/>
  </r>
  <r>
    <n v="313665"/>
    <s v="Evee Buddy - ChargeMOD"/>
    <s v="Vadakkencherry"/>
    <s v="Kerala"/>
    <s v="India"/>
    <n v="10.59195731"/>
    <n v="76.465711769999999"/>
    <n v="2"/>
    <s v="Temporarily Unavailable"/>
    <s v="ChargeMod (IN)"/>
    <n v="0"/>
    <n v="0"/>
    <x v="1"/>
  </r>
  <r>
    <n v="313661"/>
    <s v="Topup Zone EVCS - ChargeMOD"/>
    <s v="Amballur"/>
    <s v="Kerala"/>
    <s v="India"/>
    <n v="10.43389238"/>
    <n v="76.265148719999999"/>
    <n v="2"/>
    <s v="Operational"/>
    <s v="ChargeMod (IN)"/>
    <n v="1"/>
    <n v="2"/>
    <x v="1"/>
  </r>
  <r>
    <n v="313659"/>
    <s v="EV Point EVCS - ChargeMOD"/>
    <s v="Kodakara"/>
    <s v="Kerala"/>
    <s v="India"/>
    <n v="10.38066087"/>
    <n v="76.297686179999999"/>
    <n v="2"/>
    <s v="Operational"/>
    <s v="ChargeMod (IN)"/>
    <n v="1"/>
    <n v="2"/>
    <x v="1"/>
  </r>
  <r>
    <n v="313656"/>
    <s v="Flash Charge EVCS - ChargeMOD"/>
    <s v="Chalakudy"/>
    <s v="Kerala"/>
    <s v="India"/>
    <n v="10.339608930000001"/>
    <n v="76.321746309999995"/>
    <n v="2"/>
    <s v="Operational"/>
    <s v="ChargeMod (IN)"/>
    <n v="1"/>
    <n v="2"/>
    <x v="1"/>
  </r>
  <r>
    <n v="313650"/>
    <s v="Hill View Resort (EVOK) - ChargeMOD"/>
    <s v="Athirappilly"/>
    <s v="Kerala"/>
    <s v="India"/>
    <n v="10.286039649999999"/>
    <n v="76.558515580000005"/>
    <n v="2"/>
    <s v="Operational"/>
    <s v="ChargeMod (IN)"/>
    <n v="1"/>
    <n v="2"/>
    <x v="1"/>
  </r>
  <r>
    <n v="313648"/>
    <s v="Edassery Blue Bells EVCS - ChargeMOD"/>
    <s v="Angamaly"/>
    <s v="Kerala"/>
    <s v="India"/>
    <n v="10.197144120000001"/>
    <n v="76.384109589999994"/>
    <n v="2"/>
    <s v="Operational"/>
    <s v="ChargeMod (IN)"/>
    <n v="1"/>
    <n v="2"/>
    <x v="1"/>
  </r>
  <r>
    <n v="313647"/>
    <s v="Hotel Elite Palazzo"/>
    <s v="Angamaly"/>
    <s v="Kerala"/>
    <s v="India"/>
    <n v="10.189753400000001"/>
    <n v="76.386642269999996"/>
    <n v="2"/>
    <s v="Operational"/>
    <s v="ChargeMod (IN)"/>
    <n v="1"/>
    <n v="2"/>
    <x v="1"/>
  </r>
  <r>
    <n v="313639"/>
    <s v="Dhruv EVCS - ChargeMOD"/>
    <s v="Kunnukara"/>
    <s v="Kerala"/>
    <s v="India"/>
    <n v="10.154913049999999"/>
    <n v="76.286014449999996"/>
    <n v="2"/>
    <s v="Operational"/>
    <s v="ChargeMod (IN)"/>
    <n v="1"/>
    <n v="2"/>
    <x v="1"/>
  </r>
  <r>
    <n v="313637"/>
    <s v="EVM MG Motors Coastline Garage - ChargeMOD"/>
    <s v="Kochi"/>
    <s v="Kerala"/>
    <s v="India"/>
    <n v="10.077284479999999"/>
    <n v="76.337641230000003"/>
    <n v="2"/>
    <s v="Operational"/>
    <s v="ChargeMod (IN)"/>
    <n v="1"/>
    <n v="2"/>
    <x v="1"/>
  </r>
  <r>
    <n v="313633"/>
    <s v="Flash Charge - ChargeMOD"/>
    <s v="Edappally"/>
    <s v="Keral"/>
    <s v="India"/>
    <n v="10.027760860000001"/>
    <n v="76.311174440000002"/>
    <n v="2"/>
    <s v="Operational"/>
    <s v="ChargeMod (IN)"/>
    <n v="1"/>
    <n v="2"/>
    <x v="1"/>
  </r>
  <r>
    <n v="313628"/>
    <s v="Broad Bean Hotel (EVOK) - ChargeMOD"/>
    <s v="Vyttila"/>
    <s v="Kerala"/>
    <s v="India"/>
    <n v="9.9626677630000007"/>
    <n v="76.318213540000002"/>
    <n v="2"/>
    <s v="Operational"/>
    <s v="ChargeMod (IN)"/>
    <n v="1"/>
    <n v="2"/>
    <x v="1"/>
  </r>
  <r>
    <n v="313626"/>
    <s v="BYD EVM Southcoast Service Centre - ChargeMOD"/>
    <s v="Maradu"/>
    <s v="Kerala"/>
    <s v="India"/>
    <n v="9.9481349859999995"/>
    <n v="76.318501760000004"/>
    <n v="2"/>
    <s v="Operational"/>
    <s v="ChargeMod (IN)"/>
    <n v="1"/>
    <n v="2"/>
    <x v="1"/>
  </r>
  <r>
    <n v="313625"/>
    <s v="EVM La Maison Citroen Kochi - ChargeMOD"/>
    <s v="Maradu"/>
    <s v="Kerala"/>
    <s v="India"/>
    <n v="9.9401551010000002"/>
    <n v="76.318418410000007"/>
    <n v="2"/>
    <s v="Operational"/>
    <s v="ChargeMod (IN)"/>
    <n v="1"/>
    <n v="2"/>
    <x v="1"/>
  </r>
  <r>
    <n v="313624"/>
    <s v="LiON EVCS - ChargeMOD"/>
    <s v="Maradu"/>
    <s v="Kerala"/>
    <s v="India"/>
    <n v="9.9422252130000004"/>
    <n v="76.333885100000003"/>
    <n v="2"/>
    <s v="Operational"/>
    <s v="ChargeMod (IN)"/>
    <n v="1"/>
    <n v="2"/>
    <x v="1"/>
  </r>
  <r>
    <n v="313618"/>
    <s v="Matha DC EVCS - ChargeMOD"/>
    <s v="Kizhakkambalam"/>
    <s v="Kerala"/>
    <s v="India"/>
    <n v="10.031936930000001"/>
    <n v="76.407492520000005"/>
    <n v="2"/>
    <s v="Operational"/>
    <s v="ChargeMod (IN)"/>
    <n v="1"/>
    <n v="2"/>
    <x v="1"/>
  </r>
  <r>
    <n v="313616"/>
    <s v="Renvolt (EVOK) - ChargeMOD"/>
    <s v="Kothamangalam"/>
    <s v="Kerala"/>
    <s v="India"/>
    <n v="10.069470069999999"/>
    <n v="76.602630070000004"/>
    <n v="2"/>
    <s v="Operational"/>
    <s v="ChargeMod (IN)"/>
    <n v="1"/>
    <n v="2"/>
    <x v="1"/>
  </r>
  <r>
    <n v="313612"/>
    <s v="Kabani International (EVOK) - ChargeMOD"/>
    <s v="Moovattupuzha"/>
    <s v="Kerala"/>
    <s v="India"/>
    <n v="9.9791182680000006"/>
    <n v="76.58664023"/>
    <n v="2"/>
    <s v="Operational"/>
    <s v="ChargeMod (IN)"/>
    <n v="1"/>
    <n v="2"/>
    <x v="1"/>
  </r>
  <r>
    <n v="313611"/>
    <s v="Pineapple City EVCS - ChargeMOD"/>
    <s v="Thodupuzha"/>
    <s v="Kerala"/>
    <s v="India"/>
    <n v="9.9461573600000008"/>
    <n v="76.635631000000004"/>
    <n v="2"/>
    <s v="Operational"/>
    <s v="ChargeMod (IN)"/>
    <n v="1"/>
    <n v="2"/>
    <x v="1"/>
  </r>
  <r>
    <n v="313610"/>
    <s v="Hotel Woodlands - ChargeMOD"/>
    <s v="Thodupuzha"/>
    <s v="Kerala"/>
    <s v="India"/>
    <n v="9.9173406970000002"/>
    <n v="76.687581410000007"/>
    <n v="2"/>
    <s v="Operational"/>
    <s v="ChargeMod (IN)"/>
    <n v="1"/>
    <n v="2"/>
    <x v="1"/>
  </r>
  <r>
    <n v="313608"/>
    <s v="EQ EV Nest - ChargeMOD"/>
    <s v="Karimkunnam"/>
    <s v="Kerala"/>
    <s v="India"/>
    <n v="9.8631135309999998"/>
    <n v="76.697090520000003"/>
    <n v="2"/>
    <s v="Operational"/>
    <s v="ChargeMod (IN)"/>
    <n v="1"/>
    <n v="2"/>
    <x v="1"/>
  </r>
  <r>
    <n v="313605"/>
    <s v="EQ ChargeMate - ChargeMOD"/>
    <s v="Thalayolaparambu"/>
    <s v="Kerala"/>
    <s v="India"/>
    <n v="9.7988508169999999"/>
    <n v="76.459887379999998"/>
    <n v="2"/>
    <s v="Operational"/>
    <s v="ChargeMod (IN)"/>
    <n v="1"/>
    <n v="2"/>
    <x v="1"/>
  </r>
  <r>
    <n v="313603"/>
    <s v="Sihla Energy - ChargeMOD"/>
    <s v="Kumarakom"/>
    <s v="Kerala"/>
    <s v="India"/>
    <n v="9.5945813750000006"/>
    <n v="76.426069420000005"/>
    <n v="2"/>
    <s v="Operational"/>
    <s v="ChargeMod (IN)"/>
    <n v="1"/>
    <n v="2"/>
    <x v="1"/>
  </r>
  <r>
    <n v="313601"/>
    <s v="ChargeMOD EVCS"/>
    <s v="Thiruvananthapuram"/>
    <s v="Kerala"/>
    <s v="India"/>
    <n v="8.3578738529999992"/>
    <n v="77.072944980000003"/>
    <n v="2"/>
    <s v="Operational"/>
    <s v="ChargeMod (IN)"/>
    <n v="1"/>
    <n v="2"/>
    <x v="1"/>
  </r>
  <r>
    <n v="313600"/>
    <s v="Emily By JDaniels"/>
    <s v="Poojappura"/>
    <s v="Kerala"/>
    <s v="India"/>
    <n v="8.4949747779999996"/>
    <n v="76.977567980000003"/>
    <n v="2"/>
    <s v="Operational"/>
    <s v="ChargeMod (IN)"/>
    <n v="1"/>
    <n v="2"/>
    <x v="1"/>
  </r>
  <r>
    <n v="313599"/>
    <s v="Nuke EVCS - ChargeMOD"/>
    <s v="Sreekaryam"/>
    <s v="Kerala"/>
    <s v="India"/>
    <n v="8.5485423750000002"/>
    <n v="76.91829328"/>
    <n v="2"/>
    <s v="Operational"/>
    <s v="ChargeMod (IN)"/>
    <n v="1"/>
    <n v="2"/>
    <x v="1"/>
  </r>
  <r>
    <n v="313597"/>
    <s v="Akshaya EV Fast Charging Station - ChargeMOD"/>
    <s v="Kazhakuttom"/>
    <s v="Kerala"/>
    <s v="India"/>
    <n v="8.5653001660000001"/>
    <n v="76.874447380000007"/>
    <n v="2"/>
    <s v="Operational"/>
    <s v="ChargeMod (IN)"/>
    <n v="1"/>
    <n v="2"/>
    <x v="1"/>
  </r>
  <r>
    <n v="313589"/>
    <s v="Alpha Hangout Play World"/>
    <s v="Ettumanoor"/>
    <s v="Kerala"/>
    <s v="India"/>
    <n v="9.6611638519999996"/>
    <n v="76.551328330000004"/>
    <n v="2"/>
    <s v="Operational"/>
    <s v="ChargeMod (IN)"/>
    <n v="1"/>
    <n v="2"/>
    <x v="1"/>
  </r>
  <r>
    <n v="313585"/>
    <s v="Charge n Fresh EVCS - ChargeMOD"/>
    <s v="Kottayam"/>
    <s v="Kerala"/>
    <s v="India"/>
    <n v="9.5862574879999993"/>
    <n v="76.588415220000002"/>
    <n v="2"/>
    <s v="Operational"/>
    <s v="ChargeMod (IN)"/>
    <n v="1"/>
    <n v="2"/>
    <x v="1"/>
  </r>
  <r>
    <n v="313580"/>
    <s v="Pathalil EVCS - Charge MOD"/>
    <s v="Nedumkunnam"/>
    <s v="Kerala"/>
    <s v="India"/>
    <n v="9.5061644360000006"/>
    <n v="76.652333609999999"/>
    <n v="2"/>
    <s v="Operational"/>
    <s v="ChargeMod (IN)"/>
    <n v="1"/>
    <n v="2"/>
    <x v="1"/>
  </r>
  <r>
    <n v="313569"/>
    <s v="Phills Hub EVCS - ChargeMOD"/>
    <s v="Pathanamthitta"/>
    <s v="Kerala"/>
    <s v="India"/>
    <n v="9.3166523689999998"/>
    <n v="76.800902269999995"/>
    <n v="2"/>
    <s v="Operational"/>
    <s v="ChargeMod (IN)"/>
    <n v="1"/>
    <n v="2"/>
    <x v="1"/>
  </r>
  <r>
    <n v="313555"/>
    <s v="Muzhangodayil EVCS - ChargeMOD"/>
    <s v="Harippad"/>
    <s v="Unknown"/>
    <s v="India"/>
    <n v="9.2516738529999998"/>
    <n v="76.487232640000002"/>
    <n v="2"/>
    <s v="Temporarily Unavailable"/>
    <s v="ChargeMod (IN)"/>
    <n v="0"/>
    <n v="0"/>
    <x v="6"/>
  </r>
  <r>
    <n v="313552"/>
    <s v="EQ Power Buzz EVCS - ChargeMOD"/>
    <s v="Paranthal"/>
    <s v="Kerala"/>
    <s v="India"/>
    <n v="9.1871837410000001"/>
    <n v="76.709295499999996"/>
    <n v="2"/>
    <s v="Operational"/>
    <s v="ChargeMod (IN)"/>
    <n v="1"/>
    <n v="2"/>
    <x v="1"/>
  </r>
  <r>
    <n v="313548"/>
    <s v="Artemis EV Super Charger - ChargeMOD"/>
    <s v="Mavelikkara"/>
    <s v="Kerala"/>
    <s v="India"/>
    <n v="9.1988811090000002"/>
    <n v="76.600176500000003"/>
    <n v="2"/>
    <s v="Operational"/>
    <s v="ChargeMod (IN)"/>
    <n v="1"/>
    <n v="2"/>
    <x v="1"/>
  </r>
  <r>
    <n v="313546"/>
    <s v="Delight Launch Cafe - ChargeMOD"/>
    <s v="Kottarakkara"/>
    <s v="Kerala"/>
    <s v="India"/>
    <n v="9.0593502969999999"/>
    <n v="76.76600397"/>
    <n v="2"/>
    <s v="Operational"/>
    <s v="ChargeMod (IN)"/>
    <n v="1"/>
    <n v="2"/>
    <x v="1"/>
  </r>
  <r>
    <n v="313538"/>
    <s v="Sree Suprabhatham - ChargeMOD"/>
    <s v="Kollam"/>
    <s v="Kerala"/>
    <s v="India"/>
    <n v="8.9269695240000004"/>
    <n v="76.552803150000003"/>
    <n v="2"/>
    <s v="Operational"/>
    <s v="ChargeMod (IN)"/>
    <n v="1"/>
    <n v="2"/>
    <x v="1"/>
  </r>
  <r>
    <n v="313537"/>
    <s v="Bishop Jerome Nagar (EVOK) EVCS - ChargeMOD"/>
    <s v="Chinnakkada"/>
    <s v="Kerala"/>
    <s v="India"/>
    <n v="8.8875774140000008"/>
    <n v="76.588436610000002"/>
    <n v="2"/>
    <s v="Operational"/>
    <s v="ChargeMod (IN)"/>
    <n v="1"/>
    <n v="2"/>
    <x v="1"/>
  </r>
  <r>
    <n v="313534"/>
    <s v="Plug N Pay EVCS"/>
    <s v="Kottarakkara"/>
    <s v="Kerala"/>
    <s v="India"/>
    <n v="8.9356940349999991"/>
    <n v="76.851049209999999"/>
    <n v="2"/>
    <s v="Operational"/>
    <s v="ChargeMod (IN)"/>
    <n v="1"/>
    <n v="2"/>
    <x v="1"/>
  </r>
  <r>
    <n v="313507"/>
    <s v="Apco Hyundai - ChargeZone"/>
    <s v="Chengala"/>
    <s v="Kerala"/>
    <s v="India"/>
    <n v="12.508914880000001"/>
    <n v="75.04478426"/>
    <n v="2"/>
    <s v="Planned For Future Date"/>
    <s v="Chargezone (India)"/>
    <n v="0"/>
    <n v="0"/>
    <x v="1"/>
  </r>
  <r>
    <n v="313506"/>
    <s v="Thiruvangoor EV Fast Charging Station - ChargeMOD"/>
    <s v="Kozhikode"/>
    <s v="Kerala"/>
    <s v="India"/>
    <n v="11.382827239999999"/>
    <n v="75.735936499999994"/>
    <n v="2"/>
    <s v="Operational"/>
    <s v="ChargeMod (IN)"/>
    <n v="1"/>
    <n v="2"/>
    <x v="1"/>
  </r>
  <r>
    <n v="313505"/>
    <s v="MB#Bridgeway Motors"/>
    <s v="Kozhikode"/>
    <s v="Kerala"/>
    <s v="India"/>
    <n v="11.282498950000001"/>
    <n v="75.769599499999998"/>
    <n v="2"/>
    <s v="Operational"/>
    <s v="ChargeMod (IN)"/>
    <n v="1"/>
    <n v="2"/>
    <x v="1"/>
  </r>
  <r>
    <n v="313504"/>
    <s v="KVR Hyundai - ChargeZone"/>
    <s v="Kozhikode"/>
    <s v="Kerala"/>
    <s v="India"/>
    <n v="11.279978310000001"/>
    <n v="75.770480599999999"/>
    <n v="2"/>
    <s v="Planned For Future Date"/>
    <s v="Chargezone (India)"/>
    <n v="0"/>
    <n v="0"/>
    <x v="1"/>
  </r>
  <r>
    <n v="313503"/>
    <s v="Grand Hyundai - ChargeZone"/>
    <s v="Palakkad"/>
    <s v="Kerala"/>
    <s v="India"/>
    <n v="10.790476610000001"/>
    <n v="76.651119390000005"/>
    <n v="2"/>
    <s v="Operational"/>
    <s v="Chargezone (India)"/>
    <n v="1"/>
    <n v="2"/>
    <x v="1"/>
  </r>
  <r>
    <n v="313502"/>
    <s v="MB#Bridgeway Motors"/>
    <s v="Thrissur"/>
    <s v="Kerala"/>
    <s v="India"/>
    <n v="10.47104712"/>
    <n v="76.257459030000007"/>
    <n v="2"/>
    <s v="Operational"/>
    <s v="ChargeMod (IN)"/>
    <n v="1"/>
    <n v="2"/>
    <x v="1"/>
  </r>
  <r>
    <n v="313501"/>
    <s v="Kochi Marriot Hotel"/>
    <s v="Kochi"/>
    <s v="Kerala"/>
    <s v="India"/>
    <n v="10.02982815"/>
    <n v="76.30813431"/>
    <n v="2"/>
    <s v="Planned For Future Date"/>
    <s v="Chargezone (India)"/>
    <n v="0"/>
    <n v="0"/>
    <x v="1"/>
  </r>
  <r>
    <n v="313500"/>
    <s v="Le Meridien - ChargeZone"/>
    <s v="Ernakulam"/>
    <s v="Kerala"/>
    <s v="India"/>
    <n v="9.9338631769999992"/>
    <n v="76.316874060000004"/>
    <n v="2"/>
    <s v="Planned For Future Date"/>
    <s v="Chargezone (India)"/>
    <n v="0"/>
    <n v="0"/>
    <x v="1"/>
  </r>
  <r>
    <n v="313499"/>
    <s v="MB#Coastal Star"/>
    <s v="Ernakulam"/>
    <s v="Kerala"/>
    <s v="India"/>
    <n v="9.9229902200000009"/>
    <n v="76.317689250000001"/>
    <n v="2"/>
    <s v="Operational"/>
    <s v="ChargeMod (IN)"/>
    <n v="1"/>
    <n v="2"/>
    <x v="1"/>
  </r>
  <r>
    <n v="313496"/>
    <s v="Athirampuzha"/>
    <s v="Kottayam"/>
    <s v="Kerala"/>
    <s v="India"/>
    <n v="9.6616883060000003"/>
    <n v="76.551137460000007"/>
    <n v="2"/>
    <s v="Operational"/>
    <s v="ChargeMod (IN)"/>
    <n v="1"/>
    <n v="2"/>
    <x v="1"/>
  </r>
  <r>
    <n v="313495"/>
    <s v="SS Hyundai"/>
    <s v="Pathanamthitta"/>
    <s v="Kerala"/>
    <s v="India"/>
    <n v="9.2777449250000004"/>
    <n v="76.754683110000002"/>
    <n v="2"/>
    <s v="Operational"/>
    <s v="Chargezone (India)"/>
    <n v="1"/>
    <n v="2"/>
    <x v="1"/>
  </r>
  <r>
    <n v="313494"/>
    <s v="GDM Auditorium - ChargeZone"/>
    <s v="Kayamkulam"/>
    <s v="Kerala"/>
    <s v="India"/>
    <n v="9.1699623890000002"/>
    <n v="76.498087920000003"/>
    <n v="2"/>
    <s v="Operational"/>
    <s v="Chargezone (India)"/>
    <n v="1"/>
    <n v="2"/>
    <x v="1"/>
  </r>
  <r>
    <n v="313493"/>
    <s v="Hotel Indraprastha"/>
    <s v="Karunagappalli"/>
    <s v="Kerala"/>
    <s v="India"/>
    <n v="9.0523550420000003"/>
    <n v="76.535460810000004"/>
    <n v="2"/>
    <s v="Operational"/>
    <s v="Chargezone (India)"/>
    <n v="1"/>
    <n v="2"/>
    <x v="1"/>
  </r>
  <r>
    <n v="313492"/>
    <s v="Best EVCS - ChargeMOD"/>
    <s v="Karunagappalli"/>
    <s v="Kerala"/>
    <s v="India"/>
    <n v="9.0460530089999995"/>
    <n v="76.536630779999996"/>
    <n v="2"/>
    <s v="Operational"/>
    <s v="Chargezone (India)"/>
    <n v="1"/>
    <n v="2"/>
    <x v="1"/>
  </r>
  <r>
    <n v="313490"/>
    <s v="Chungath Sprise Hyundai - ChargeZone"/>
    <s v="Kollam"/>
    <s v="Kerala"/>
    <s v="India"/>
    <n v="8.9111048620000002"/>
    <n v="76.627353159999998"/>
    <n v="2"/>
    <s v="Planned For Future Date"/>
    <s v="Chargezone (India)"/>
    <n v="0"/>
    <n v="0"/>
    <x v="1"/>
  </r>
  <r>
    <n v="313488"/>
    <s v="Marvel Paints"/>
    <s v="Thiruvananthapuram"/>
    <s v="Kerala"/>
    <s v="India"/>
    <n v="8.5357062080000006"/>
    <n v="76.965262039999999"/>
    <n v="2"/>
    <s v="Operational"/>
    <s v="ChargeMod (IN)"/>
    <n v="1"/>
    <n v="2"/>
    <x v="1"/>
  </r>
  <r>
    <n v="313471"/>
    <s v="Down Town Mall - Zeon"/>
    <s v="Thalasseri"/>
    <s v="Kerala"/>
    <s v="India"/>
    <n v="11.74512339"/>
    <n v="75.495419170000005"/>
    <n v="2"/>
    <s v="Operational"/>
    <s v="Zeon Charging"/>
    <n v="1"/>
    <n v="2"/>
    <x v="1"/>
  </r>
  <r>
    <n v="313461"/>
    <s v="Nesto Hypermarket - Zeon"/>
    <s v="Kottakkal"/>
    <s v="Kerala"/>
    <s v="India"/>
    <n v="10.995739410000001"/>
    <n v="75.992109940000006"/>
    <n v="2"/>
    <s v="Operational"/>
    <s v="Zeon Charging"/>
    <n v="1"/>
    <n v="2"/>
    <x v="1"/>
  </r>
  <r>
    <n v="313459"/>
    <s v="Nesto Hypermarket Zeon"/>
    <s v="Thirur"/>
    <s v="Kerala"/>
    <s v="India"/>
    <n v="10.90772625"/>
    <n v="75.920325680000005"/>
    <n v="2"/>
    <s v="Operational"/>
    <s v="Zeon Charging"/>
    <n v="1"/>
    <n v="2"/>
    <x v="1"/>
  </r>
  <r>
    <n v="313455"/>
    <s v="Nesto Hypermarket"/>
    <s v="Thrissur"/>
    <s v="Kerala"/>
    <s v="India"/>
    <n v="10.539926250000001"/>
    <n v="76.192887580000004"/>
    <n v="2"/>
    <s v="Operational"/>
    <s v="Zeon Charging"/>
    <n v="1"/>
    <n v="2"/>
    <x v="1"/>
  </r>
  <r>
    <n v="313453"/>
    <s v="Chennai Ananda Bhavan"/>
    <s v="Thrissur"/>
    <s v="Kerala"/>
    <s v="India"/>
    <n v="10.5127597"/>
    <n v="76.258916749999997"/>
    <n v="2"/>
    <s v="Operational"/>
    <s v="Zeon Charging"/>
    <n v="1"/>
    <n v="2"/>
    <x v="1"/>
  </r>
  <r>
    <n v="313451"/>
    <s v="Mughal Mall"/>
    <s v="Kodungallur"/>
    <s v="Kerala"/>
    <s v="India"/>
    <n v="10.231319020000001"/>
    <n v="76.197243099999994"/>
    <n v="2"/>
    <s v="Operational"/>
    <s v="Zeon Charging"/>
    <n v="1"/>
    <n v="2"/>
    <x v="1"/>
  </r>
  <r>
    <n v="313449"/>
    <s v="Club Mahindra Resort - Cherai Beach"/>
    <s v="Cherai"/>
    <s v="Kerala"/>
    <s v="India"/>
    <n v="10.137093999999999"/>
    <n v="76.180289529999996"/>
    <n v="2"/>
    <s v="Operational"/>
    <s v="Zeon Charging"/>
    <n v="1"/>
    <n v="2"/>
    <x v="1"/>
  </r>
  <r>
    <n v="313443"/>
    <s v="Hotel Ganga Grand"/>
    <s v="Moovattupuzha"/>
    <s v="Kerala"/>
    <s v="India"/>
    <n v="9.9817705659999998"/>
    <n v="76.578304230000001"/>
    <n v="2"/>
    <s v="Operational"/>
    <s v="Zeon Charging"/>
    <n v="1"/>
    <n v="2"/>
    <x v="1"/>
  </r>
  <r>
    <n v="313441"/>
    <s v="Club Mahindra Aleppey Resort"/>
    <s v="Arookutty"/>
    <s v="Kerala"/>
    <s v="India"/>
    <n v="9.8597511040000008"/>
    <n v="76.335824169999995"/>
    <n v="2"/>
    <s v="Operational"/>
    <s v="Zeon Charging"/>
    <n v="1"/>
    <n v="2"/>
    <x v="1"/>
  </r>
  <r>
    <n v="313439"/>
    <s v="Cassia Restaurant"/>
    <s v="Alappuzha"/>
    <s v="Kerala"/>
    <s v="India"/>
    <n v="9.5187138830000002"/>
    <n v="76.327485150000001"/>
    <n v="2"/>
    <s v="Operational"/>
    <s v="Zeon Charging"/>
    <n v="1"/>
    <n v="2"/>
    <x v="1"/>
  </r>
  <r>
    <n v="479727"/>
    <s v="Nikol EV Charging station "/>
    <s v="Pune"/>
    <s v="Unknown"/>
    <s v="India"/>
    <n v="18.7171819"/>
    <n v="74.182920879999998"/>
    <n v="1"/>
    <s v="Operational"/>
    <s v="Unknown"/>
    <n v="1"/>
    <n v="1"/>
    <x v="6"/>
  </r>
  <r>
    <n v="479445"/>
    <s v="Blaze Fast Charger For 2 Ev Wheeler "/>
    <s v="Lb Nagar"/>
    <s v="Telangana"/>
    <s v="India"/>
    <n v="17.340475789999999"/>
    <n v="78.545395499999998"/>
    <n v="1"/>
    <s v="Operational"/>
    <s v="Bolt.Earth (IN)"/>
    <n v="1"/>
    <n v="1"/>
    <x v="3"/>
  </r>
  <r>
    <n v="479438"/>
    <s v="Tata Power Charging Station"/>
    <s v="Unknown"/>
    <s v="Odisha"/>
    <s v="India"/>
    <n v="22.286960799999999"/>
    <n v="86.790983299999994"/>
    <n v="1"/>
    <s v="Operational"/>
    <s v="Unknown"/>
    <n v="1"/>
    <n v="1"/>
    <x v="0"/>
  </r>
  <r>
    <n v="479436"/>
    <s v="Hindustan Petroleum Corporation Limited"/>
    <s v="Unknown"/>
    <s v="Odisha"/>
    <s v="India"/>
    <n v="22.4498584"/>
    <n v="86.595041100000003"/>
    <n v="1"/>
    <s v="Operational"/>
    <s v="Unknown"/>
    <n v="1"/>
    <n v="1"/>
    <x v="0"/>
  </r>
  <r>
    <n v="479435"/>
    <s v="Jio-bp"/>
    <s v="Unknown"/>
    <s v="Odisha"/>
    <s v="India"/>
    <n v="22.140250000000002"/>
    <n v="85.712649999999996"/>
    <n v="1"/>
    <s v="Operational"/>
    <s v="Unknown"/>
    <n v="1"/>
    <n v="1"/>
    <x v="0"/>
  </r>
  <r>
    <n v="479434"/>
    <s v="Jio-bp"/>
    <s v="Unknown"/>
    <s v="Odisha"/>
    <s v="India"/>
    <n v="22.0015401"/>
    <n v="85.327980100000005"/>
    <n v="1"/>
    <s v="Operational"/>
    <s v="Unknown"/>
    <n v="1"/>
    <n v="1"/>
    <x v="0"/>
  </r>
  <r>
    <n v="479432"/>
    <s v="Ather Grid Charging Station"/>
    <s v="Unknown"/>
    <s v="Odisha"/>
    <s v="India"/>
    <n v="22.236660000000001"/>
    <n v="84.770150000000001"/>
    <n v="1"/>
    <s v="Operational"/>
    <s v="Unknown"/>
    <n v="1"/>
    <n v="1"/>
    <x v="0"/>
  </r>
  <r>
    <n v="479431"/>
    <s v="Ather Grid Charging Station"/>
    <s v="Unknown"/>
    <s v="Odisha"/>
    <s v="India"/>
    <n v="22.226704600000001"/>
    <n v="84.864116499999994"/>
    <n v="1"/>
    <s v="Operational"/>
    <s v="Unknown"/>
    <n v="1"/>
    <n v="1"/>
    <x v="0"/>
  </r>
  <r>
    <n v="479430"/>
    <s v="Tata Power Charging Station"/>
    <s v="Unknown"/>
    <s v="Odisha"/>
    <s v="India"/>
    <n v="22.226809899999999"/>
    <n v="84.796036400000006"/>
    <n v="1"/>
    <s v="Operational"/>
    <s v="Unknown"/>
    <n v="1"/>
    <n v="1"/>
    <x v="0"/>
  </r>
  <r>
    <n v="479428"/>
    <s v="Ather charging station"/>
    <s v="Unknown"/>
    <s v="Odisha"/>
    <s v="India"/>
    <n v="22.1040381"/>
    <n v="84.037543200000002"/>
    <n v="1"/>
    <s v="Operational"/>
    <s v="Unknown"/>
    <n v="1"/>
    <n v="1"/>
    <x v="0"/>
  </r>
  <r>
    <n v="479427"/>
    <s v="Jio-bp"/>
    <s v="Unknown"/>
    <s v="Odisha"/>
    <s v="India"/>
    <n v="22.110037899999998"/>
    <n v="83.995318900000001"/>
    <n v="1"/>
    <s v="Operational"/>
    <s v="Unknown"/>
    <n v="1"/>
    <n v="1"/>
    <x v="0"/>
  </r>
  <r>
    <n v="479426"/>
    <s v="Ather Grid Charging Station"/>
    <s v="Unknown"/>
    <s v="Odisha"/>
    <s v="India"/>
    <n v="22.105083"/>
    <n v="84.037895000000006"/>
    <n v="1"/>
    <s v="Operational"/>
    <s v="Unknown"/>
    <n v="1"/>
    <n v="1"/>
    <x v="0"/>
  </r>
  <r>
    <n v="479425"/>
    <s v="Tata Power Charging Station"/>
    <s v="Unknown"/>
    <s v="Odisha"/>
    <s v="India"/>
    <n v="21.762953"/>
    <n v="87.010723999999996"/>
    <n v="1"/>
    <s v="Operational"/>
    <s v="Unknown"/>
    <n v="1"/>
    <n v="1"/>
    <x v="0"/>
  </r>
  <r>
    <n v="479424"/>
    <s v="Ather Grid Charging Station"/>
    <s v="Unknown"/>
    <s v="Odisha"/>
    <s v="India"/>
    <n v="21.940045999999999"/>
    <n v="86.744606000000005"/>
    <n v="1"/>
    <s v="Operational"/>
    <s v="Unknown"/>
    <n v="1"/>
    <n v="1"/>
    <x v="0"/>
  </r>
  <r>
    <n v="479423"/>
    <s v="WARIVO ELECTRIC SCOOTER SHOWROOM -PREMJIT MOTORS BARIPADA"/>
    <s v="Unknown"/>
    <s v="Odisha"/>
    <s v="India"/>
    <n v="21.9265285"/>
    <n v="86.731955499999998"/>
    <n v="1"/>
    <s v="Operational"/>
    <s v="Unknown"/>
    <n v="1"/>
    <n v="1"/>
    <x v="0"/>
  </r>
  <r>
    <n v="479422"/>
    <s v="Ather Grid Charging Station"/>
    <s v="Unknown"/>
    <s v="Odisha"/>
    <s v="India"/>
    <n v="21.909101"/>
    <n v="86.751334999999997"/>
    <n v="1"/>
    <s v="Operational"/>
    <s v="Unknown"/>
    <n v="1"/>
    <n v="1"/>
    <x v="0"/>
  </r>
  <r>
    <n v="479421"/>
    <s v="Electric Vehicle Charging Station"/>
    <s v="Unknown"/>
    <s v="Odisha"/>
    <s v="India"/>
    <n v="21.8057616"/>
    <n v="85.995167199999997"/>
    <n v="1"/>
    <s v="Operational"/>
    <s v="Unknown"/>
    <n v="1"/>
    <n v="1"/>
    <x v="0"/>
  </r>
  <r>
    <n v="479420"/>
    <s v="Ather Grid Charging Station"/>
    <s v="Unknown"/>
    <s v="Odisha"/>
    <s v="India"/>
    <n v="21.852720000000001"/>
    <n v="83.999089999999995"/>
    <n v="1"/>
    <s v="Operational"/>
    <s v="Unknown"/>
    <n v="1"/>
    <n v="1"/>
    <x v="0"/>
  </r>
  <r>
    <n v="479419"/>
    <s v="Tata Power Charging Station"/>
    <s v="Unknown"/>
    <s v="Odisha"/>
    <s v="India"/>
    <n v="21.86703"/>
    <n v="83.966207999999995"/>
    <n v="1"/>
    <s v="Operational"/>
    <s v="Unknown"/>
    <n v="1"/>
    <n v="1"/>
    <x v="0"/>
  </r>
  <r>
    <n v="479418"/>
    <s v="Ather Grid Charging Station"/>
    <s v="Unknown"/>
    <s v="Odisha"/>
    <s v="India"/>
    <n v="21.917408000000002"/>
    <n v="83.382660000000001"/>
    <n v="1"/>
    <s v="Operational"/>
    <s v="Unknown"/>
    <n v="1"/>
    <n v="1"/>
    <x v="0"/>
  </r>
  <r>
    <n v="479417"/>
    <s v="Tata Power Charging Station"/>
    <s v="Unknown"/>
    <s v="Odisha"/>
    <s v="India"/>
    <n v="21.920674000000002"/>
    <n v="83.370714000000007"/>
    <n v="1"/>
    <s v="Operational"/>
    <s v="Unknown"/>
    <n v="1"/>
    <n v="1"/>
    <x v="0"/>
  </r>
  <r>
    <n v="479416"/>
    <s v="BPCL Charging Station"/>
    <s v="Unknown"/>
    <s v="Odisha"/>
    <s v="India"/>
    <n v="21.872869000000001"/>
    <n v="83.388349000000005"/>
    <n v="1"/>
    <s v="Operational"/>
    <s v="Unknown"/>
    <n v="1"/>
    <n v="1"/>
    <x v="0"/>
  </r>
  <r>
    <n v="479415"/>
    <s v="Ankush Vehicles"/>
    <s v="Unknown"/>
    <s v="Odisha"/>
    <s v="India"/>
    <n v="21.848500099999999"/>
    <n v="82.779108800000003"/>
    <n v="1"/>
    <s v="Operational"/>
    <s v="Unknown"/>
    <n v="1"/>
    <n v="1"/>
    <x v="0"/>
  </r>
  <r>
    <n v="479413"/>
    <s v="BPCL Charging Station"/>
    <s v="Unknown"/>
    <s v="Odisha"/>
    <s v="India"/>
    <n v="21.864104300000001"/>
    <n v="82.462108799999996"/>
    <n v="1"/>
    <s v="Operational"/>
    <s v="Unknown"/>
    <n v="1"/>
    <n v="1"/>
    <x v="0"/>
  </r>
  <r>
    <n v="479412"/>
    <s v="Electric Vehicle Charging Station"/>
    <s v="Unknown"/>
    <s v="Odisha"/>
    <s v="India"/>
    <n v="21.883378199999999"/>
    <n v="82.150494199999997"/>
    <n v="1"/>
    <s v="Operational"/>
    <s v="Unknown"/>
    <n v="1"/>
    <n v="1"/>
    <x v="0"/>
  </r>
  <r>
    <n v="479411"/>
    <s v="BPCL Charging Station"/>
    <s v="Unknown"/>
    <s v="Odisha"/>
    <s v="India"/>
    <n v="21.734158000000001"/>
    <n v="81.535731999999996"/>
    <n v="1"/>
    <s v="Operational"/>
    <s v="Unknown"/>
    <n v="1"/>
    <n v="1"/>
    <x v="0"/>
  </r>
  <r>
    <n v="479410"/>
    <s v="Jio-bp pulse Charging Station"/>
    <s v="Unknown"/>
    <s v="Odisha"/>
    <s v="India"/>
    <n v="21.592751"/>
    <n v="87.020588000000004"/>
    <n v="1"/>
    <s v="Operational"/>
    <s v="Unknown"/>
    <n v="1"/>
    <n v="1"/>
    <x v="0"/>
  </r>
  <r>
    <n v="479409"/>
    <s v="Jio-bp pulse Charging Station"/>
    <s v="Unknown"/>
    <s v="Odisha"/>
    <s v="India"/>
    <n v="21.592610799999999"/>
    <n v="87.0205579"/>
    <n v="1"/>
    <s v="Operational"/>
    <s v="Unknown"/>
    <n v="1"/>
    <n v="1"/>
    <x v="0"/>
  </r>
  <r>
    <n v="479408"/>
    <s v="Electric Vehicle Charging Station"/>
    <s v="Unknown"/>
    <s v="Odisha"/>
    <s v="India"/>
    <n v="21.593016599999999"/>
    <n v="87.020728500000004"/>
    <n v="1"/>
    <s v="Operational"/>
    <s v="Unknown"/>
    <n v="1"/>
    <n v="1"/>
    <x v="0"/>
  </r>
  <r>
    <n v="479405"/>
    <s v="Electric Vehicle Charging Station"/>
    <s v="Unknown"/>
    <s v="Odisha"/>
    <s v="India"/>
    <n v="21.5746535"/>
    <n v="87.098495900000003"/>
    <n v="1"/>
    <s v="Operational"/>
    <s v="Unknown"/>
    <n v="1"/>
    <n v="1"/>
    <x v="0"/>
  </r>
  <r>
    <n v="479404"/>
    <s v="Tata Power Charging Station"/>
    <s v="Unknown"/>
    <s v="Odisha"/>
    <s v="India"/>
    <n v="21.479921999999998"/>
    <n v="86.904904000000002"/>
    <n v="1"/>
    <s v="Operational"/>
    <s v="Unknown"/>
    <n v="1"/>
    <n v="1"/>
    <x v="0"/>
  </r>
  <r>
    <n v="479403"/>
    <s v="Ather Charging Station"/>
    <s v="Unknown"/>
    <s v="Odisha"/>
    <s v="India"/>
    <n v="21.506459100000001"/>
    <n v="86.911090999999999"/>
    <n v="1"/>
    <s v="Operational"/>
    <s v="Unknown"/>
    <n v="1"/>
    <n v="1"/>
    <x v="0"/>
  </r>
  <r>
    <n v="479402"/>
    <s v="Tata Power Charging Station"/>
    <s v="Unknown"/>
    <s v="Odisha"/>
    <s v="India"/>
    <n v="21.497827399999998"/>
    <n v="86.889646900000002"/>
    <n v="1"/>
    <s v="Operational"/>
    <s v="Unknown"/>
    <n v="1"/>
    <n v="1"/>
    <x v="0"/>
  </r>
  <r>
    <n v="479401"/>
    <s v="Tata Power Charging Station"/>
    <s v="Unknown"/>
    <s v="Odisha"/>
    <s v="India"/>
    <n v="21.548808999999999"/>
    <n v="85.494005999999999"/>
    <n v="1"/>
    <s v="Operational"/>
    <s v="Unknown"/>
    <n v="1"/>
    <n v="1"/>
    <x v="0"/>
  </r>
  <r>
    <n v="479400"/>
    <s v="Ather Grid Charging Station"/>
    <s v="Unknown"/>
    <s v="Odisha"/>
    <s v="India"/>
    <n v="21.632461299999999"/>
    <n v="85.590788399999994"/>
    <n v="1"/>
    <s v="Operational"/>
    <s v="Unknown"/>
    <n v="1"/>
    <n v="1"/>
    <x v="0"/>
  </r>
  <r>
    <n v="479399"/>
    <s v="Electric Vehicle Charging Station"/>
    <s v="Unknown"/>
    <s v="Odisha"/>
    <s v="India"/>
    <n v="21.549086899999999"/>
    <n v="85.494270900000004"/>
    <n v="1"/>
    <s v="Operational"/>
    <s v="Unknown"/>
    <n v="1"/>
    <n v="1"/>
    <x v="0"/>
  </r>
  <r>
    <n v="479398"/>
    <s v="Ather Charging Station"/>
    <s v="Unknown"/>
    <s v="Odisha"/>
    <s v="India"/>
    <n v="21.651430000000001"/>
    <n v="85.593950000000007"/>
    <n v="1"/>
    <s v="Operational"/>
    <s v="Unknown"/>
    <n v="1"/>
    <n v="1"/>
    <x v="0"/>
  </r>
  <r>
    <n v="479397"/>
    <s v="Ather Grid Charging Station"/>
    <s v="Unknown"/>
    <s v="Odisha"/>
    <s v="India"/>
    <n v="21.491886999999998"/>
    <n v="83.986008200000001"/>
    <n v="1"/>
    <s v="Operational"/>
    <s v="Unknown"/>
    <n v="1"/>
    <n v="1"/>
    <x v="0"/>
  </r>
  <r>
    <n v="479395"/>
    <s v="Tata Power Charging Station"/>
    <s v="Unknown"/>
    <s v="Odisha"/>
    <s v="India"/>
    <n v="21.510616299999999"/>
    <n v="84.005920200000006"/>
    <n v="1"/>
    <s v="Operational"/>
    <s v="Unknown"/>
    <n v="1"/>
    <n v="1"/>
    <x v="0"/>
  </r>
  <r>
    <n v="479394"/>
    <s v="Ather Charging Station"/>
    <s v="Unknown"/>
    <s v="Odisha"/>
    <s v="India"/>
    <n v="21.495249999999999"/>
    <n v="83.975719999999995"/>
    <n v="1"/>
    <s v="Operational"/>
    <s v="Unknown"/>
    <n v="1"/>
    <n v="1"/>
    <x v="0"/>
  </r>
  <r>
    <n v="479392"/>
    <s v="BPCL Charging Station"/>
    <s v="Unknown"/>
    <s v="Odisha"/>
    <s v="India"/>
    <n v="21.494135"/>
    <n v="83.982290000000006"/>
    <n v="1"/>
    <s v="Operational"/>
    <s v="Unknown"/>
    <n v="1"/>
    <n v="1"/>
    <x v="0"/>
  </r>
  <r>
    <n v="479391"/>
    <s v="Jio-bp"/>
    <s v="Unknown"/>
    <s v="Odisha"/>
    <s v="India"/>
    <n v="21.632665299999999"/>
    <n v="82.159203700000006"/>
    <n v="1"/>
    <s v="Operational"/>
    <s v="Unknown"/>
    <n v="1"/>
    <n v="1"/>
    <x v="0"/>
  </r>
  <r>
    <n v="479390"/>
    <s v="Jio-bp"/>
    <s v="Unknown"/>
    <s v="Odisha"/>
    <s v="India"/>
    <n v="21.550270000000001"/>
    <n v="81.947460000000007"/>
    <n v="1"/>
    <s v="Operational"/>
    <s v="Unknown"/>
    <n v="1"/>
    <n v="1"/>
    <x v="0"/>
  </r>
  <r>
    <n v="479388"/>
    <s v="PRATIK E RICKSHAW"/>
    <s v="Unknown"/>
    <s v="Odisha"/>
    <s v="India"/>
    <n v="21.7025644"/>
    <n v="81.542717499999995"/>
    <n v="1"/>
    <s v="Operational"/>
    <s v="Unknown"/>
    <n v="1"/>
    <n v="1"/>
    <x v="0"/>
  </r>
  <r>
    <n v="479387"/>
    <s v="Ather Grid Charging Station"/>
    <s v="Unknown"/>
    <s v="Odisha"/>
    <s v="India"/>
    <n v="21.697686999999998"/>
    <n v="81.546139999999994"/>
    <n v="1"/>
    <s v="Operational"/>
    <s v="Unknown"/>
    <n v="1"/>
    <n v="1"/>
    <x v="0"/>
  </r>
  <r>
    <n v="479386"/>
    <s v="Tata Power Charging Station"/>
    <s v="Unknown"/>
    <s v="Odisha"/>
    <s v="India"/>
    <n v="21.63401"/>
    <n v="81.623890000000003"/>
    <n v="1"/>
    <s v="Operational"/>
    <s v="Unknown"/>
    <n v="1"/>
    <n v="1"/>
    <x v="0"/>
  </r>
  <r>
    <n v="479385"/>
    <s v="BPCL Charging Station"/>
    <s v="Unknown"/>
    <s v="Odisha"/>
    <s v="India"/>
    <n v="21.5166085"/>
    <n v="81.693927900000006"/>
    <n v="1"/>
    <s v="Operational"/>
    <s v="Unknown"/>
    <n v="1"/>
    <n v="1"/>
    <x v="0"/>
  </r>
  <r>
    <n v="479384"/>
    <s v="Jio-bp pulse Charging Station"/>
    <s v="Unknown"/>
    <s v="Odisha"/>
    <s v="India"/>
    <n v="21.317264000000002"/>
    <n v="86.725104999999999"/>
    <n v="1"/>
    <s v="Operational"/>
    <s v="Unknown"/>
    <n v="1"/>
    <n v="1"/>
    <x v="0"/>
  </r>
  <r>
    <n v="479383"/>
    <s v="Electric Vehicle Charging Station"/>
    <s v="Unknown"/>
    <s v="Odisha"/>
    <s v="India"/>
    <n v="21.284536899999999"/>
    <n v="86.674979500000006"/>
    <n v="1"/>
    <s v="Operational"/>
    <s v="Unknown"/>
    <n v="1"/>
    <n v="1"/>
    <x v="0"/>
  </r>
  <r>
    <n v="479382"/>
    <s v="BPCL Charging Station"/>
    <s v="Unknown"/>
    <s v="Odisha"/>
    <s v="India"/>
    <n v="21.382528600000001"/>
    <n v="86.796329999999998"/>
    <n v="1"/>
    <s v="Operational"/>
    <s v="Unknown"/>
    <n v="1"/>
    <n v="1"/>
    <x v="0"/>
  </r>
  <r>
    <n v="479381"/>
    <s v="BPCL Charging Station"/>
    <s v="Unknown"/>
    <s v="Odisha"/>
    <s v="India"/>
    <n v="21.358080999999999"/>
    <n v="86.784451000000004"/>
    <n v="1"/>
    <s v="Operational"/>
    <s v="Unknown"/>
    <n v="1"/>
    <n v="1"/>
    <x v="0"/>
  </r>
  <r>
    <n v="479380"/>
    <s v="Electric Vehicle Charging Station"/>
    <s v="Unknown"/>
    <s v="Odisha"/>
    <s v="India"/>
    <n v="21.2216615"/>
    <n v="86.119069699999997"/>
    <n v="1"/>
    <s v="Operational"/>
    <s v="Unknown"/>
    <n v="1"/>
    <n v="1"/>
    <x v="0"/>
  </r>
  <r>
    <n v="479379"/>
    <s v="Ather Grid Charging Station"/>
    <s v="Unknown"/>
    <s v="Odisha"/>
    <s v="India"/>
    <n v="21.200248999999999"/>
    <n v="86.123890000000003"/>
    <n v="1"/>
    <s v="Operational"/>
    <s v="Unknown"/>
    <n v="1"/>
    <n v="1"/>
    <x v="0"/>
  </r>
  <r>
    <n v="479378"/>
    <s v="BPCL Charging Station"/>
    <s v="Unknown"/>
    <s v="Odisha"/>
    <s v="India"/>
    <n v="21.3652959"/>
    <n v="83.744039099999995"/>
    <n v="1"/>
    <s v="Operational"/>
    <s v="Unknown"/>
    <n v="1"/>
    <n v="1"/>
    <x v="0"/>
  </r>
  <r>
    <n v="479377"/>
    <s v="BPCL Charging Station"/>
    <s v="Unknown"/>
    <s v="Odisha"/>
    <s v="India"/>
    <n v="21.314257000000001"/>
    <n v="83.458978200000004"/>
    <n v="1"/>
    <s v="Operational"/>
    <s v="Unknown"/>
    <n v="1"/>
    <n v="1"/>
    <x v="0"/>
  </r>
  <r>
    <n v="479376"/>
    <s v="BPCL Charging Station"/>
    <s v="Unknown"/>
    <s v="Odisha"/>
    <s v="India"/>
    <n v="21.312703800000001"/>
    <n v="83.312890199999998"/>
    <n v="1"/>
    <s v="Operational"/>
    <s v="Unknown"/>
    <n v="1"/>
    <n v="1"/>
    <x v="0"/>
  </r>
  <r>
    <n v="479375"/>
    <s v="BPCL Charging Station"/>
    <s v="Unknown"/>
    <s v="Odisha"/>
    <s v="India"/>
    <n v="21.314737999999998"/>
    <n v="83.309171000000006"/>
    <n v="1"/>
    <s v="Operational"/>
    <s v="Unknown"/>
    <n v="1"/>
    <n v="1"/>
    <x v="0"/>
  </r>
  <r>
    <n v="479373"/>
    <s v="Ather Grid Charging Station"/>
    <s v="Unknown"/>
    <s v="Odisha"/>
    <s v="India"/>
    <n v="21.323920000000001"/>
    <n v="81.7012"/>
    <n v="1"/>
    <s v="Operational"/>
    <s v="Unknown"/>
    <n v="1"/>
    <n v="1"/>
    <x v="0"/>
  </r>
  <r>
    <n v="479372"/>
    <s v="Electric Vehicle Charging Station"/>
    <s v="Unknown"/>
    <s v="Odisha"/>
    <s v="India"/>
    <n v="21.202065600000001"/>
    <n v="81.919296099999997"/>
    <n v="1"/>
    <s v="Operational"/>
    <s v="Unknown"/>
    <n v="1"/>
    <n v="1"/>
    <x v="0"/>
  </r>
  <r>
    <n v="479371"/>
    <s v="BPCL Charging Station"/>
    <s v="Unknown"/>
    <s v="Odisha"/>
    <s v="India"/>
    <n v="21.2057845"/>
    <n v="81.872112000000001"/>
    <n v="1"/>
    <s v="Operational"/>
    <s v="Unknown"/>
    <n v="1"/>
    <n v="1"/>
    <x v="0"/>
  </r>
  <r>
    <n v="479370"/>
    <s v="Jio-bp"/>
    <s v="Unknown"/>
    <s v="Odisha"/>
    <s v="India"/>
    <n v="21.302802700000001"/>
    <n v="81.736809100000002"/>
    <n v="1"/>
    <s v="Operational"/>
    <s v="Unknown"/>
    <n v="1"/>
    <n v="1"/>
    <x v="0"/>
  </r>
  <r>
    <n v="479369"/>
    <s v="Electric Vehicle Charging Station"/>
    <s v="Unknown"/>
    <s v="Odisha"/>
    <s v="India"/>
    <n v="21.2182526"/>
    <n v="81.630131300000002"/>
    <n v="1"/>
    <s v="Operational"/>
    <s v="Unknown"/>
    <n v="1"/>
    <n v="1"/>
    <x v="0"/>
  </r>
  <r>
    <n v="479368"/>
    <s v="NIKOL EV Charging Station"/>
    <s v="Unknown"/>
    <s v="Odisha"/>
    <s v="India"/>
    <n v="21.3173134"/>
    <n v="81.639718400000007"/>
    <n v="1"/>
    <s v="Operational"/>
    <s v="Unknown"/>
    <n v="1"/>
    <n v="1"/>
    <x v="0"/>
  </r>
  <r>
    <n v="479367"/>
    <s v="Tata Power Charging Station"/>
    <s v="Unknown"/>
    <s v="Odisha"/>
    <s v="India"/>
    <n v="21.237788699999999"/>
    <n v="81.689683500000001"/>
    <n v="1"/>
    <s v="Operational"/>
    <s v="Unknown"/>
    <n v="1"/>
    <n v="1"/>
    <x v="0"/>
  </r>
  <r>
    <n v="479366"/>
    <s v="BPCL Charging Station"/>
    <s v="Unknown"/>
    <s v="Odisha"/>
    <s v="India"/>
    <n v="21.249594099999999"/>
    <n v="81.523425000000003"/>
    <n v="1"/>
    <s v="Operational"/>
    <s v="Unknown"/>
    <n v="1"/>
    <n v="1"/>
    <x v="0"/>
  </r>
  <r>
    <n v="479365"/>
    <s v="Jio-bp"/>
    <s v="Unknown"/>
    <s v="Odisha"/>
    <s v="India"/>
    <n v="21.341342999999998"/>
    <n v="81.429918999999998"/>
    <n v="1"/>
    <s v="Operational"/>
    <s v="Unknown"/>
    <n v="1"/>
    <n v="1"/>
    <x v="0"/>
  </r>
  <r>
    <n v="479364"/>
    <s v="BPCL Charging Station"/>
    <s v="Unknown"/>
    <s v="Odisha"/>
    <s v="India"/>
    <n v="21.364806000000002"/>
    <n v="81.663764400000005"/>
    <n v="1"/>
    <s v="Operational"/>
    <s v="Unknown"/>
    <n v="1"/>
    <n v="1"/>
    <x v="0"/>
  </r>
  <r>
    <n v="479363"/>
    <s v="Ather Grid Charging Station"/>
    <s v="Unknown"/>
    <s v="Odisha"/>
    <s v="India"/>
    <n v="21.241645500000001"/>
    <n v="81.495900399999996"/>
    <n v="1"/>
    <s v="Operational"/>
    <s v="Unknown"/>
    <n v="1"/>
    <n v="1"/>
    <x v="0"/>
  </r>
  <r>
    <n v="479362"/>
    <s v="BPCL Charging Station"/>
    <s v="Unknown"/>
    <s v="Odisha"/>
    <s v="India"/>
    <n v="21.335394000000001"/>
    <n v="81.621727000000007"/>
    <n v="1"/>
    <s v="Operational"/>
    <s v="Unknown"/>
    <n v="1"/>
    <n v="1"/>
    <x v="0"/>
  </r>
  <r>
    <n v="479361"/>
    <s v="Tata Power Charging Station"/>
    <s v="Unknown"/>
    <s v="Odisha"/>
    <s v="India"/>
    <n v="21.240409499999998"/>
    <n v="81.657780099999997"/>
    <n v="1"/>
    <s v="Operational"/>
    <s v="Unknown"/>
    <n v="1"/>
    <n v="1"/>
    <x v="0"/>
  </r>
  <r>
    <n v="479360"/>
    <s v="Ather Grid Charging Station"/>
    <s v="Unknown"/>
    <s v="Odisha"/>
    <s v="India"/>
    <n v="21.2444126"/>
    <n v="81.607607999999999"/>
    <n v="1"/>
    <s v="Operational"/>
    <s v="Unknown"/>
    <n v="1"/>
    <n v="1"/>
    <x v="0"/>
  </r>
  <r>
    <n v="479359"/>
    <s v="BPCL Charging Station"/>
    <s v="Unknown"/>
    <s v="Odisha"/>
    <s v="India"/>
    <n v="21.315833000000001"/>
    <n v="81.639605000000003"/>
    <n v="1"/>
    <s v="Operational"/>
    <s v="Unknown"/>
    <n v="1"/>
    <n v="1"/>
    <x v="0"/>
  </r>
  <r>
    <n v="479358"/>
    <s v="Laxmi E Bike Solution"/>
    <s v="Unknown"/>
    <s v="Odisha"/>
    <s v="India"/>
    <n v="21.234622699999999"/>
    <n v="81.664444399999994"/>
    <n v="1"/>
    <s v="Operational"/>
    <s v="Unknown"/>
    <n v="1"/>
    <n v="1"/>
    <x v="0"/>
  </r>
  <r>
    <n v="479357"/>
    <s v="Ather Grid Charging Station"/>
    <s v="Unknown"/>
    <s v="Odisha"/>
    <s v="India"/>
    <n v="21.240400099999999"/>
    <n v="81.6029695"/>
    <n v="1"/>
    <s v="Operational"/>
    <s v="Unknown"/>
    <n v="1"/>
    <n v="1"/>
    <x v="0"/>
  </r>
  <r>
    <n v="479356"/>
    <s v="BPCL Charging Station"/>
    <s v="Unknown"/>
    <s v="Odisha"/>
    <s v="India"/>
    <n v="21.243320000000001"/>
    <n v="81.579622000000001"/>
    <n v="1"/>
    <s v="Operational"/>
    <s v="Unknown"/>
    <n v="1"/>
    <n v="1"/>
    <x v="0"/>
  </r>
  <r>
    <n v="479354"/>
    <s v="Ather Charging Station"/>
    <s v="Unknown"/>
    <s v="Odisha"/>
    <s v="India"/>
    <n v="21.244000400000001"/>
    <n v="81.634718800000002"/>
    <n v="1"/>
    <s v="Operational"/>
    <s v="Unknown"/>
    <n v="1"/>
    <n v="1"/>
    <x v="0"/>
  </r>
  <r>
    <n v="479351"/>
    <s v="Ather Grid Charging Station"/>
    <s v="Unknown"/>
    <s v="Odisha"/>
    <s v="India"/>
    <n v="21.240207099999999"/>
    <n v="81.684308299999998"/>
    <n v="1"/>
    <s v="Operational"/>
    <s v="Unknown"/>
    <n v="1"/>
    <n v="1"/>
    <x v="0"/>
  </r>
  <r>
    <n v="479350"/>
    <s v="Ola Charging Station"/>
    <s v="Unknown"/>
    <s v="Odisha"/>
    <s v="India"/>
    <n v="21.2395532"/>
    <n v="81.677671399999994"/>
    <n v="1"/>
    <s v="Operational"/>
    <s v="Unknown"/>
    <n v="1"/>
    <n v="1"/>
    <x v="0"/>
  </r>
  <r>
    <n v="479349"/>
    <s v="Bolt.Earth"/>
    <s v="Unknown"/>
    <s v="Odisha"/>
    <s v="India"/>
    <n v="21.0984032"/>
    <n v="86.526684200000005"/>
    <n v="1"/>
    <s v="Operational"/>
    <s v="Unknown"/>
    <n v="1"/>
    <n v="1"/>
    <x v="0"/>
  </r>
  <r>
    <n v="479348"/>
    <s v="Ather Grid Charging Station"/>
    <s v="Unknown"/>
    <s v="Odisha"/>
    <s v="India"/>
    <n v="21.071770999999998"/>
    <n v="86.498320000000007"/>
    <n v="1"/>
    <s v="Operational"/>
    <s v="Unknown"/>
    <n v="1"/>
    <n v="1"/>
    <x v="0"/>
  </r>
  <r>
    <n v="479347"/>
    <s v="Jio-bp pulse Charging Station"/>
    <s v="Unknown"/>
    <s v="Odisha"/>
    <s v="India"/>
    <n v="21.070288099999999"/>
    <n v="86.4970845"/>
    <n v="1"/>
    <s v="Operational"/>
    <s v="Unknown"/>
    <n v="1"/>
    <n v="1"/>
    <x v="0"/>
  </r>
  <r>
    <n v="479346"/>
    <s v="Jio-bp pulse Charging Station"/>
    <s v="Unknown"/>
    <s v="Odisha"/>
    <s v="India"/>
    <n v="20.9758779"/>
    <n v="86.401223099999996"/>
    <n v="1"/>
    <s v="Operational"/>
    <s v="Unknown"/>
    <n v="1"/>
    <n v="1"/>
    <x v="0"/>
  </r>
  <r>
    <n v="479345"/>
    <s v="Tata Power Charging Station"/>
    <s v="Unknown"/>
    <s v="Odisha"/>
    <s v="India"/>
    <n v="21.06981"/>
    <n v="86.496256000000002"/>
    <n v="1"/>
    <s v="Operational"/>
    <s v="Unknown"/>
    <n v="1"/>
    <n v="1"/>
    <x v="0"/>
  </r>
  <r>
    <n v="479344"/>
    <s v="Ather Grid Charging Station"/>
    <s v="Unknown"/>
    <s v="Odisha"/>
    <s v="India"/>
    <n v="21.104305"/>
    <n v="86.532646"/>
    <n v="1"/>
    <s v="Operational"/>
    <s v="Unknown"/>
    <n v="1"/>
    <n v="1"/>
    <x v="0"/>
  </r>
  <r>
    <n v="479343"/>
    <s v="Ather Grid Charging Station"/>
    <s v="Unknown"/>
    <s v="Odisha"/>
    <s v="India"/>
    <n v="20.936204799999999"/>
    <n v="86.164662399999997"/>
    <n v="1"/>
    <s v="Operational"/>
    <s v="Unknown"/>
    <n v="1"/>
    <n v="1"/>
    <x v="0"/>
  </r>
  <r>
    <n v="479342"/>
    <s v="Tata Power Charging Station"/>
    <s v="Unknown"/>
    <s v="Odisha"/>
    <s v="India"/>
    <n v="20.918958700000001"/>
    <n v="86.216968399999999"/>
    <n v="1"/>
    <s v="Operational"/>
    <s v="Unknown"/>
    <n v="1"/>
    <n v="1"/>
    <x v="0"/>
  </r>
  <r>
    <n v="479341"/>
    <s v="Electric Vehicle Charging Station"/>
    <s v="Unknown"/>
    <s v="Odisha"/>
    <s v="India"/>
    <n v="20.986724200000001"/>
    <n v="85.989196000000007"/>
    <n v="1"/>
    <s v="Operational"/>
    <s v="Unknown"/>
    <n v="1"/>
    <n v="1"/>
    <x v="0"/>
  </r>
  <r>
    <n v="479340"/>
    <s v="Tata Power Charging Station"/>
    <s v="Unknown"/>
    <s v="Odisha"/>
    <s v="India"/>
    <n v="20.950256199999998"/>
    <n v="85.989752999999993"/>
    <n v="1"/>
    <s v="Operational"/>
    <s v="Unknown"/>
    <n v="1"/>
    <n v="1"/>
    <x v="0"/>
  </r>
  <r>
    <n v="479339"/>
    <s v="BPCL Charging Station"/>
    <s v="Unknown"/>
    <s v="Odisha"/>
    <s v="India"/>
    <n v="21.068530800000001"/>
    <n v="82.361732599999996"/>
    <n v="1"/>
    <s v="Operational"/>
    <s v="Unknown"/>
    <n v="1"/>
    <n v="1"/>
    <x v="0"/>
  </r>
  <r>
    <n v="479338"/>
    <s v="EESL Charging Station"/>
    <s v="Unknown"/>
    <s v="Odisha"/>
    <s v="India"/>
    <n v="21.163620600000002"/>
    <n v="81.788358000000002"/>
    <n v="1"/>
    <s v="Operational"/>
    <s v="Unknown"/>
    <n v="1"/>
    <n v="1"/>
    <x v="0"/>
  </r>
  <r>
    <n v="479337"/>
    <s v="Tata Power Charging Station"/>
    <s v="Unknown"/>
    <s v="Odisha"/>
    <s v="India"/>
    <n v="21.161282100000001"/>
    <n v="81.796672000000001"/>
    <n v="1"/>
    <s v="Operational"/>
    <s v="Unknown"/>
    <n v="1"/>
    <n v="1"/>
    <x v="0"/>
  </r>
  <r>
    <n v="479336"/>
    <s v="EESL Charging Station"/>
    <s v="Unknown"/>
    <s v="Odisha"/>
    <s v="India"/>
    <n v="21.161336800000001"/>
    <n v="81.796447599999993"/>
    <n v="1"/>
    <s v="Operational"/>
    <s v="Unknown"/>
    <n v="1"/>
    <n v="1"/>
    <x v="0"/>
  </r>
  <r>
    <n v="479335"/>
    <s v="BPCL Charging Station"/>
    <s v="Unknown"/>
    <s v="Odisha"/>
    <s v="India"/>
    <n v="21.0784588"/>
    <n v="81.751865899999999"/>
    <n v="1"/>
    <s v="Operational"/>
    <s v="Unknown"/>
    <n v="1"/>
    <n v="1"/>
    <x v="0"/>
  </r>
  <r>
    <n v="479334"/>
    <s v="Ather Grid Charging Station"/>
    <s v="Unknown"/>
    <s v="Odisha"/>
    <s v="India"/>
    <n v="21.134089500000002"/>
    <n v="81.772353899999999"/>
    <n v="1"/>
    <s v="Operational"/>
    <s v="Unknown"/>
    <n v="1"/>
    <n v="1"/>
    <x v="0"/>
  </r>
  <r>
    <n v="479333"/>
    <s v="BPCL Charging Station"/>
    <s v="Unknown"/>
    <s v="Odisha"/>
    <s v="India"/>
    <n v="21.043510099999999"/>
    <n v="81.732074699999998"/>
    <n v="1"/>
    <s v="Operational"/>
    <s v="Unknown"/>
    <n v="1"/>
    <n v="1"/>
    <x v="0"/>
  </r>
  <r>
    <n v="479332"/>
    <s v="Om sai corporation e rickshaw"/>
    <s v="Unknown"/>
    <s v="Odisha"/>
    <s v="India"/>
    <n v="21.047829400000001"/>
    <n v="81.533177800000004"/>
    <n v="1"/>
    <s v="Operational"/>
    <s v="Unknown"/>
    <n v="1"/>
    <n v="1"/>
    <x v="0"/>
  </r>
  <r>
    <n v="479331"/>
    <s v="Electric Vehicle Charging Station"/>
    <s v="Unknown"/>
    <s v="Odisha"/>
    <s v="India"/>
    <n v="21.035982000000001"/>
    <n v="81.546132200000002"/>
    <n v="1"/>
    <s v="Not Operational"/>
    <s v="Unknown"/>
    <n v="0"/>
    <n v="0"/>
    <x v="0"/>
  </r>
  <r>
    <n v="479329"/>
    <s v="Hindustan Petroleum Corporation Limited"/>
    <s v="Unknown"/>
    <s v="Odisha"/>
    <s v="India"/>
    <n v="20.838153999999999"/>
    <n v="86.308423000000005"/>
    <n v="1"/>
    <s v="Operational"/>
    <s v="Unknown"/>
    <n v="1"/>
    <n v="1"/>
    <x v="0"/>
  </r>
  <r>
    <n v="479328"/>
    <s v="Ather Grid Charging Station"/>
    <s v="Unknown"/>
    <s v="Odisha"/>
    <s v="India"/>
    <n v="20.703937100000001"/>
    <n v="86.134196399999993"/>
    <n v="1"/>
    <s v="Operational"/>
    <s v="Unknown"/>
    <n v="1"/>
    <n v="1"/>
    <x v="0"/>
  </r>
  <r>
    <n v="479327"/>
    <s v="Jio-bp pulse Charging Station"/>
    <s v="Unknown"/>
    <s v="Odisha"/>
    <s v="India"/>
    <n v="20.752399"/>
    <n v="86.150857000000002"/>
    <n v="1"/>
    <s v="Operational"/>
    <s v="Unknown"/>
    <n v="1"/>
    <n v="1"/>
    <x v="0"/>
  </r>
  <r>
    <n v="479326"/>
    <s v="Electric Vehicle Charging Station"/>
    <s v="Unknown"/>
    <s v="Odisha"/>
    <s v="India"/>
    <n v="20.6581671"/>
    <n v="86.117313800000005"/>
    <n v="1"/>
    <s v="Operational"/>
    <s v="Unknown"/>
    <n v="1"/>
    <n v="1"/>
    <x v="0"/>
  </r>
  <r>
    <n v="479325"/>
    <s v="Ampere EV by Greaves - Green Wheels"/>
    <s v="Unknown"/>
    <s v="Odisha"/>
    <s v="India"/>
    <n v="20.694237900000001"/>
    <n v="86.132879299999999"/>
    <n v="1"/>
    <s v="Operational"/>
    <s v="Unknown"/>
    <n v="1"/>
    <n v="1"/>
    <x v="0"/>
  </r>
  <r>
    <n v="479324"/>
    <s v="BPCL Charging Station"/>
    <s v="Unknown"/>
    <s v="Odisha"/>
    <s v="India"/>
    <n v="20.656229"/>
    <n v="86.112808999999999"/>
    <n v="1"/>
    <s v="Operational"/>
    <s v="Unknown"/>
    <n v="1"/>
    <n v="1"/>
    <x v="0"/>
  </r>
  <r>
    <n v="479323"/>
    <s v="Ather Grid Charging Station"/>
    <s v="Unknown"/>
    <s v="Odisha"/>
    <s v="India"/>
    <n v="20.669519900000001"/>
    <n v="85.592293299999994"/>
    <n v="1"/>
    <s v="Operational"/>
    <s v="Unknown"/>
    <n v="1"/>
    <n v="1"/>
    <x v="0"/>
  </r>
  <r>
    <n v="479322"/>
    <s v="Jio-bp"/>
    <s v="Unknown"/>
    <s v="Odisha"/>
    <s v="India"/>
    <n v="20.8014756"/>
    <n v="85.543470200000002"/>
    <n v="1"/>
    <s v="Operational"/>
    <s v="Unknown"/>
    <n v="1"/>
    <n v="1"/>
    <x v="0"/>
  </r>
  <r>
    <n v="479321"/>
    <s v="Tata Power Charging Station"/>
    <s v="Unknown"/>
    <s v="Odisha"/>
    <s v="India"/>
    <n v="20.831755699999999"/>
    <n v="85.241660300000007"/>
    <n v="1"/>
    <s v="Operational"/>
    <s v="Unknown"/>
    <n v="1"/>
    <n v="1"/>
    <x v="0"/>
  </r>
  <r>
    <n v="479320"/>
    <s v="Thunder Plus Charging Station"/>
    <s v="Unknown"/>
    <s v="Odisha"/>
    <s v="India"/>
    <n v="20.831735200000001"/>
    <n v="85.241658599999994"/>
    <n v="1"/>
    <s v="Operational"/>
    <s v="Unknown"/>
    <n v="1"/>
    <n v="1"/>
    <x v="0"/>
  </r>
  <r>
    <n v="479319"/>
    <s v="Tata Power Ez Charging Station"/>
    <s v="Unknown"/>
    <s v="Odisha"/>
    <s v="India"/>
    <n v="20.832793200000001"/>
    <n v="85.238288600000004"/>
    <n v="1"/>
    <s v="Operational"/>
    <s v="Unknown"/>
    <n v="1"/>
    <n v="1"/>
    <x v="0"/>
  </r>
  <r>
    <n v="479318"/>
    <s v="Ather Grid Charging Station"/>
    <s v="Unknown"/>
    <s v="Odisha"/>
    <s v="India"/>
    <n v="20.832794"/>
    <n v="85.085235999999995"/>
    <n v="1"/>
    <s v="Operational"/>
    <s v="Unknown"/>
    <n v="1"/>
    <n v="1"/>
    <x v="0"/>
  </r>
  <r>
    <n v="479316"/>
    <s v="Hindustan Petroleum Corporation Limited Charging Station"/>
    <s v="Unknown"/>
    <s v="Odisha"/>
    <s v="India"/>
    <n v="20.823510899999999"/>
    <n v="85.0620926"/>
    <n v="1"/>
    <s v="Operational"/>
    <s v="Unknown"/>
    <n v="1"/>
    <n v="1"/>
    <x v="0"/>
  </r>
  <r>
    <n v="479315"/>
    <s v="Hindustan Petroleum Corporation Limited"/>
    <s v="Unknown"/>
    <s v="Odisha"/>
    <s v="India"/>
    <n v="20.823407899999999"/>
    <n v="85.062049900000005"/>
    <n v="1"/>
    <s v="Operational"/>
    <s v="Unknown"/>
    <n v="1"/>
    <n v="1"/>
    <x v="0"/>
  </r>
  <r>
    <n v="479314"/>
    <s v="Jio-bp"/>
    <s v="Unknown"/>
    <s v="Odisha"/>
    <s v="India"/>
    <n v="20.80489"/>
    <n v="84.033990000000003"/>
    <n v="1"/>
    <s v="Operational"/>
    <s v="Unknown"/>
    <n v="1"/>
    <n v="1"/>
    <x v="0"/>
  </r>
  <r>
    <n v="479313"/>
    <s v="Electric Vehicle Charging Station"/>
    <s v="Unknown"/>
    <s v="Odisha"/>
    <s v="India"/>
    <n v="20.857754100000001"/>
    <n v="83.944182100000006"/>
    <n v="1"/>
    <s v="Operational"/>
    <s v="Unknown"/>
    <n v="1"/>
    <n v="1"/>
    <x v="0"/>
  </r>
  <r>
    <n v="479312"/>
    <s v="Electric Vehicle Charging Station"/>
    <s v="Unknown"/>
    <s v="Odisha"/>
    <s v="India"/>
    <n v="20.847186099999998"/>
    <n v="83.894135000000006"/>
    <n v="1"/>
    <s v="Operational"/>
    <s v="Unknown"/>
    <n v="1"/>
    <n v="1"/>
    <x v="0"/>
  </r>
  <r>
    <n v="479311"/>
    <s v="Tata Power Charging Station"/>
    <s v="Unknown"/>
    <s v="Odisha"/>
    <s v="India"/>
    <n v="20.7425344"/>
    <n v="81.5791428"/>
    <n v="1"/>
    <s v="Operational"/>
    <s v="Unknown"/>
    <n v="1"/>
    <n v="1"/>
    <x v="0"/>
  </r>
  <r>
    <n v="479310"/>
    <s v="BPCL Charging Station"/>
    <s v="Unknown"/>
    <s v="Odisha"/>
    <s v="India"/>
    <n v="20.817084999999999"/>
    <n v="81.682810200000006"/>
    <n v="1"/>
    <s v="Operational"/>
    <s v="Unknown"/>
    <n v="1"/>
    <n v="1"/>
    <x v="0"/>
  </r>
  <r>
    <n v="479309"/>
    <s v="Ather Grid Charging Station"/>
    <s v="Unknown"/>
    <s v="Odisha"/>
    <s v="India"/>
    <n v="20.530715300000001"/>
    <n v="86.357933299999999"/>
    <n v="1"/>
    <s v="Operational"/>
    <s v="Unknown"/>
    <n v="1"/>
    <n v="1"/>
    <x v="0"/>
  </r>
  <r>
    <n v="479308"/>
    <s v="kesannager electric office"/>
    <s v="Unknown"/>
    <s v="Odisha"/>
    <s v="India"/>
    <n v="20.4209459"/>
    <n v="86.090303800000001"/>
    <n v="1"/>
    <s v="Operational"/>
    <s v="Unknown"/>
    <n v="1"/>
    <n v="1"/>
    <x v="0"/>
  </r>
  <r>
    <n v="479307"/>
    <s v="Adani Charging Station"/>
    <s v="Unknown"/>
    <s v="Odisha"/>
    <s v="India"/>
    <n v="20.482358900000001"/>
    <n v="86.058158800000001"/>
    <n v="1"/>
    <s v="Operational"/>
    <s v="Unknown"/>
    <n v="1"/>
    <n v="1"/>
    <x v="0"/>
  </r>
  <r>
    <n v="479306"/>
    <s v="Tata Power Charging Station"/>
    <s v="Unknown"/>
    <s v="Odisha"/>
    <s v="India"/>
    <n v="20.370249699999999"/>
    <n v="85.890974499999999"/>
    <n v="1"/>
    <s v="Operational"/>
    <s v="Unknown"/>
    <n v="1"/>
    <n v="1"/>
    <x v="0"/>
  </r>
  <r>
    <n v="479305"/>
    <s v="Ather Grid Charging Station"/>
    <s v="Unknown"/>
    <s v="Odisha"/>
    <s v="India"/>
    <n v="20.491886000000001"/>
    <n v="85.935270000000003"/>
    <n v="1"/>
    <s v="Operational"/>
    <s v="Unknown"/>
    <n v="1"/>
    <n v="1"/>
    <x v="0"/>
  </r>
  <r>
    <n v="479304"/>
    <s v="Ather Grid Charging Station"/>
    <s v="Unknown"/>
    <s v="Odisha"/>
    <s v="India"/>
    <n v="20.4791192"/>
    <n v="85.839822299999994"/>
    <n v="1"/>
    <s v="Not Operational"/>
    <s v="Unknown"/>
    <n v="0"/>
    <n v="0"/>
    <x v="0"/>
  </r>
  <r>
    <n v="479303"/>
    <s v="Tata Power Charging Station"/>
    <s v="Unknown"/>
    <s v="Odisha"/>
    <s v="India"/>
    <n v="20.529316000000001"/>
    <n v="85.949236999999997"/>
    <n v="1"/>
    <s v="Operational"/>
    <s v="Unknown"/>
    <n v="1"/>
    <n v="1"/>
    <x v="0"/>
  </r>
  <r>
    <n v="479302"/>
    <s v="Ather Grid Charging Station"/>
    <s v="Unknown"/>
    <s v="Odisha"/>
    <s v="India"/>
    <n v="20.453737"/>
    <n v="85.888490000000004"/>
    <n v="1"/>
    <s v="Operational"/>
    <s v="Unknown"/>
    <n v="1"/>
    <n v="1"/>
    <x v="0"/>
  </r>
  <r>
    <n v="479301"/>
    <s v="Electric Vehicle Charging Station"/>
    <s v="Unknown"/>
    <s v="Odisha"/>
    <s v="India"/>
    <n v="20.411631700000001"/>
    <n v="85.879413299999996"/>
    <n v="1"/>
    <s v="Operational"/>
    <s v="Unknown"/>
    <n v="1"/>
    <n v="1"/>
    <x v="0"/>
  </r>
  <r>
    <n v="479300"/>
    <s v="Tata Power Charging Station"/>
    <s v="Unknown"/>
    <s v="Odisha"/>
    <s v="India"/>
    <n v="20.481787000000001"/>
    <n v="85.817212999999995"/>
    <n v="1"/>
    <s v="Operational"/>
    <s v="Unknown"/>
    <n v="1"/>
    <n v="1"/>
    <x v="0"/>
  </r>
  <r>
    <n v="479299"/>
    <s v="Ather Grid Charging Station"/>
    <s v="Unknown"/>
    <s v="Odisha"/>
    <s v="India"/>
    <n v="20.449793799999998"/>
    <n v="85.898200099999997"/>
    <n v="1"/>
    <s v="Operational"/>
    <s v="Unknown"/>
    <n v="1"/>
    <n v="1"/>
    <x v="0"/>
  </r>
  <r>
    <n v="479298"/>
    <s v="Ather Grid Charging Station"/>
    <s v="Unknown"/>
    <s v="Odisha"/>
    <s v="India"/>
    <n v="20.469631"/>
    <n v="85.854690000000005"/>
    <n v="1"/>
    <s v="Operational"/>
    <s v="Unknown"/>
    <n v="1"/>
    <n v="1"/>
    <x v="0"/>
  </r>
  <r>
    <n v="479297"/>
    <s v="Ather Grid Charging Station"/>
    <s v="Unknown"/>
    <s v="Odisha"/>
    <s v="India"/>
    <n v="20.460117"/>
    <n v="85.889380000000003"/>
    <n v="1"/>
    <s v="Operational"/>
    <s v="Unknown"/>
    <n v="1"/>
    <n v="1"/>
    <x v="0"/>
  </r>
  <r>
    <n v="479296"/>
    <s v="Ather Grid Charging Station"/>
    <s v="Unknown"/>
    <s v="Odisha"/>
    <s v="India"/>
    <n v="20.442350000000001"/>
    <n v="85.904809999999998"/>
    <n v="1"/>
    <s v="Operational"/>
    <s v="Unknown"/>
    <n v="1"/>
    <n v="1"/>
    <x v="0"/>
  </r>
  <r>
    <n v="479295"/>
    <s v="Bal Gopal Motors"/>
    <s v="Unknown"/>
    <s v="Odisha"/>
    <s v="India"/>
    <n v="20.455160299999999"/>
    <n v="85.886655500000003"/>
    <n v="1"/>
    <s v="Operational"/>
    <s v="Unknown"/>
    <n v="1"/>
    <n v="1"/>
    <x v="0"/>
  </r>
  <r>
    <n v="479294"/>
    <s v="Ather Charging Station"/>
    <s v="Unknown"/>
    <s v="Odisha"/>
    <s v="India"/>
    <n v="20.446043"/>
    <n v="85.906942700000002"/>
    <n v="1"/>
    <s v="Operational"/>
    <s v="Unknown"/>
    <n v="1"/>
    <n v="1"/>
    <x v="0"/>
  </r>
  <r>
    <n v="479293"/>
    <s v="Ather Grid Charging Station"/>
    <s v="Unknown"/>
    <s v="Odisha"/>
    <s v="India"/>
    <n v="20.466061499999999"/>
    <n v="85.905360599999995"/>
    <n v="1"/>
    <s v="Operational"/>
    <s v="Unknown"/>
    <n v="1"/>
    <n v="1"/>
    <x v="0"/>
  </r>
  <r>
    <n v="479292"/>
    <s v="Ather Grid Charging Station"/>
    <s v="Unknown"/>
    <s v="Odisha"/>
    <s v="India"/>
    <n v="20.474402999999999"/>
    <n v="85.844799800000004"/>
    <n v="1"/>
    <s v="Operational"/>
    <s v="Unknown"/>
    <n v="1"/>
    <n v="1"/>
    <x v="0"/>
  </r>
  <r>
    <n v="479290"/>
    <s v="Jio-bp pulse Charging Station"/>
    <s v="Unknown"/>
    <s v="Odisha"/>
    <s v="India"/>
    <n v="20.550660300000001"/>
    <n v="85.774417999999997"/>
    <n v="1"/>
    <s v="Operational"/>
    <s v="Unknown"/>
    <n v="1"/>
    <n v="1"/>
    <x v="0"/>
  </r>
  <r>
    <n v="479289"/>
    <s v="Ather Grid Charging Station"/>
    <s v="Unknown"/>
    <s v="Odisha"/>
    <s v="India"/>
    <n v="20.462175800000001"/>
    <n v="85.883743899999999"/>
    <n v="1"/>
    <s v="Operational"/>
    <s v="Unknown"/>
    <n v="1"/>
    <n v="1"/>
    <x v="0"/>
  </r>
  <r>
    <n v="479288"/>
    <s v="Jio-bp pulse EV Charging Station"/>
    <s v="Unknown"/>
    <s v="Odisha"/>
    <s v="India"/>
    <n v="20.377014800000001"/>
    <n v="85.889379300000002"/>
    <n v="1"/>
    <s v="Operational"/>
    <s v="Unknown"/>
    <n v="1"/>
    <n v="1"/>
    <x v="0"/>
  </r>
  <r>
    <n v="479287"/>
    <s v="Hindustan Petroleum Corporation Limited"/>
    <s v="Unknown"/>
    <s v="Odisha"/>
    <s v="India"/>
    <n v="20.551269699999999"/>
    <n v="85.985495900000004"/>
    <n v="1"/>
    <s v="Operational"/>
    <s v="Unknown"/>
    <n v="1"/>
    <n v="1"/>
    <x v="0"/>
  </r>
  <r>
    <n v="479286"/>
    <s v="Hindustan Petroleum Corporation Limited"/>
    <s v="Unknown"/>
    <s v="Odisha"/>
    <s v="India"/>
    <n v="20.289510100000001"/>
    <n v="86.6453834"/>
    <n v="1"/>
    <s v="Operational"/>
    <s v="Unknown"/>
    <n v="1"/>
    <n v="1"/>
    <x v="0"/>
  </r>
  <r>
    <n v="479285"/>
    <s v="Tata Power Charging Station"/>
    <s v="Unknown"/>
    <s v="Odisha"/>
    <s v="India"/>
    <n v="20.307243"/>
    <n v="86.320751000000001"/>
    <n v="1"/>
    <s v="Operational"/>
    <s v="Unknown"/>
    <n v="1"/>
    <n v="1"/>
    <x v="0"/>
  </r>
  <r>
    <n v="479283"/>
    <s v="BPCL Charging Station"/>
    <s v="Unknown"/>
    <s v="Odisha"/>
    <s v="India"/>
    <n v="20.193901"/>
    <n v="85.859992000000005"/>
    <n v="1"/>
    <s v="Operational"/>
    <s v="Unknown"/>
    <n v="1"/>
    <n v="1"/>
    <x v="0"/>
  </r>
  <r>
    <n v="479282"/>
    <s v="Electric Vehicle Charging Station"/>
    <s v="Unknown"/>
    <s v="Odisha"/>
    <s v="India"/>
    <n v="20.289135000000002"/>
    <n v="85.8152489"/>
    <n v="1"/>
    <s v="Operational"/>
    <s v="Unknown"/>
    <n v="1"/>
    <n v="1"/>
    <x v="0"/>
  </r>
  <r>
    <n v="479281"/>
    <s v="Ather Grid Charging Station"/>
    <s v="Unknown"/>
    <s v="Odisha"/>
    <s v="India"/>
    <n v="20.315432000000001"/>
    <n v="85.820539999999994"/>
    <n v="1"/>
    <s v="Not Operational"/>
    <s v="Unknown"/>
    <n v="0"/>
    <n v="0"/>
    <x v="0"/>
  </r>
  <r>
    <n v="479278"/>
    <s v="Ather Grid Charging Station"/>
    <s v="Unknown"/>
    <s v="Odisha"/>
    <s v="India"/>
    <n v="20.2614172"/>
    <n v="85.843899300000004"/>
    <n v="1"/>
    <s v="Operational"/>
    <s v="Unknown"/>
    <n v="1"/>
    <n v="1"/>
    <x v="0"/>
  </r>
  <r>
    <n v="479277"/>
    <s v="Tata Power Charging Station"/>
    <s v="Unknown"/>
    <s v="Odisha"/>
    <s v="India"/>
    <n v="20.299550100000001"/>
    <n v="85.830973499999999"/>
    <n v="1"/>
    <s v="Operational"/>
    <s v="Unknown"/>
    <n v="1"/>
    <n v="1"/>
    <x v="0"/>
  </r>
  <r>
    <n v="479275"/>
    <s v="Ather Grid Charging Station"/>
    <s v="Unknown"/>
    <s v="Odisha"/>
    <s v="India"/>
    <n v="20.266953699999998"/>
    <n v="85.869423900000001"/>
    <n v="1"/>
    <s v="Operational"/>
    <s v="Unknown"/>
    <n v="1"/>
    <n v="1"/>
    <x v="0"/>
  </r>
  <r>
    <n v="479274"/>
    <s v="Ather Charging Station"/>
    <s v="Unknown"/>
    <s v="Odisha"/>
    <s v="India"/>
    <n v="20.2640837"/>
    <n v="85.845767899999998"/>
    <n v="1"/>
    <s v="Operational"/>
    <s v="Unknown"/>
    <n v="1"/>
    <n v="1"/>
    <x v="0"/>
  </r>
  <r>
    <n v="479271"/>
    <s v="Ather Grid Charging Station"/>
    <s v="Unknown"/>
    <s v="Odisha"/>
    <s v="India"/>
    <n v="20.271038600000001"/>
    <n v="85.783829299999994"/>
    <n v="1"/>
    <s v="Operational"/>
    <s v="Unknown"/>
    <n v="1"/>
    <n v="1"/>
    <x v="0"/>
  </r>
  <r>
    <n v="479270"/>
    <s v="Ather Grid Charging Station"/>
    <s v="Unknown"/>
    <s v="Odisha"/>
    <s v="India"/>
    <n v="20.298635099999998"/>
    <n v="85.822708599999999"/>
    <n v="1"/>
    <s v="Operational"/>
    <s v="Unknown"/>
    <n v="1"/>
    <n v="1"/>
    <x v="0"/>
  </r>
  <r>
    <n v="479268"/>
    <s v="Ather Charging Station"/>
    <s v="Unknown"/>
    <s v="Odisha"/>
    <s v="India"/>
    <n v="20.247610699999999"/>
    <n v="85.840984599999999"/>
    <n v="1"/>
    <s v="Operational"/>
    <s v="Unknown"/>
    <n v="1"/>
    <n v="1"/>
    <x v="0"/>
  </r>
  <r>
    <n v="479267"/>
    <s v="Ather Grid Charging Station"/>
    <s v="Unknown"/>
    <s v="Odisha"/>
    <s v="India"/>
    <n v="20.283109"/>
    <n v="85.806011100000006"/>
    <n v="1"/>
    <s v="Operational"/>
    <s v="Unknown"/>
    <n v="1"/>
    <n v="1"/>
    <x v="0"/>
  </r>
  <r>
    <n v="479264"/>
    <s v="Ola Electric Mobility Charging Station"/>
    <s v="Unknown"/>
    <s v="Odisha"/>
    <s v="India"/>
    <n v="20.257376099999998"/>
    <n v="85.840973000000005"/>
    <n v="1"/>
    <s v="Operational"/>
    <s v="Unknown"/>
    <n v="1"/>
    <n v="1"/>
    <x v="0"/>
  </r>
  <r>
    <n v="479263"/>
    <s v="DiodeEV Charging Station"/>
    <s v="Unknown"/>
    <s v="Odisha"/>
    <s v="India"/>
    <n v="20.227714800000001"/>
    <n v="85.735630400000005"/>
    <n v="1"/>
    <s v="Operational"/>
    <s v="Unknown"/>
    <n v="1"/>
    <n v="1"/>
    <x v="0"/>
  </r>
  <r>
    <n v="479259"/>
    <s v="Kazam Charging Station"/>
    <s v="Unknown"/>
    <s v="Odisha"/>
    <s v="India"/>
    <n v="20.255514099999999"/>
    <n v="85.686663699999997"/>
    <n v="1"/>
    <s v="Operational"/>
    <s v="Unknown"/>
    <n v="1"/>
    <n v="1"/>
    <x v="0"/>
  </r>
  <r>
    <n v="479258"/>
    <s v="Thunder Plus Charging Station"/>
    <s v="Unknown"/>
    <s v="Odisha"/>
    <s v="India"/>
    <n v="20.242778000000001"/>
    <n v="85.756117000000003"/>
    <n v="1"/>
    <s v="Operational"/>
    <s v="Unknown"/>
    <n v="1"/>
    <n v="1"/>
    <x v="0"/>
  </r>
  <r>
    <n v="479256"/>
    <s v="Kazam Charging Station"/>
    <s v="Unknown"/>
    <s v="Odisha"/>
    <s v="India"/>
    <n v="20.254699200000001"/>
    <n v="85.686781400000001"/>
    <n v="1"/>
    <s v="Operational"/>
    <s v="Unknown"/>
    <n v="1"/>
    <n v="1"/>
    <x v="0"/>
  </r>
  <r>
    <n v="479254"/>
    <s v="Tata Power Charging Station"/>
    <s v="Unknown"/>
    <s v="Odisha"/>
    <s v="India"/>
    <n v="20.240743599999998"/>
    <n v="85.759028099999995"/>
    <n v="1"/>
    <s v="Operational"/>
    <s v="Unknown"/>
    <n v="1"/>
    <n v="1"/>
    <x v="0"/>
  </r>
  <r>
    <n v="479253"/>
    <s v="Electric Vehicle Charging Station"/>
    <s v="Unknown"/>
    <s v="Odisha"/>
    <s v="India"/>
    <n v="20.223617999999998"/>
    <n v="85.726761999999994"/>
    <n v="1"/>
    <s v="Operational"/>
    <s v="Unknown"/>
    <n v="1"/>
    <n v="1"/>
    <x v="0"/>
  </r>
  <r>
    <n v="479252"/>
    <s v="Electric Vehicle Charging Station"/>
    <s v="Unknown"/>
    <s v="Odisha"/>
    <s v="India"/>
    <n v="20.1939131"/>
    <n v="85.652148800000006"/>
    <n v="1"/>
    <s v="Operational"/>
    <s v="Unknown"/>
    <n v="1"/>
    <n v="1"/>
    <x v="0"/>
  </r>
  <r>
    <n v="479251"/>
    <s v="Ather Grid Charging Station"/>
    <s v="Unknown"/>
    <s v="Odisha"/>
    <s v="India"/>
    <n v="20.178872999999999"/>
    <n v="85.611530000000002"/>
    <n v="1"/>
    <s v="Operational"/>
    <s v="Unknown"/>
    <n v="1"/>
    <n v="1"/>
    <x v="0"/>
  </r>
  <r>
    <n v="479250"/>
    <s v="Hindustan Petroleum Corporation Limited"/>
    <s v="Unknown"/>
    <s v="Odisha"/>
    <s v="India"/>
    <n v="20.154535800000001"/>
    <n v="85.063788099999996"/>
    <n v="1"/>
    <s v="Operational"/>
    <s v="Unknown"/>
    <n v="1"/>
    <n v="1"/>
    <x v="0"/>
  </r>
  <r>
    <n v="479249"/>
    <s v="Jio-bp"/>
    <s v="Unknown"/>
    <s v="Odisha"/>
    <s v="India"/>
    <n v="20.141300999999999"/>
    <n v="83.968361999999999"/>
    <n v="1"/>
    <s v="Operational"/>
    <s v="Unknown"/>
    <n v="1"/>
    <n v="1"/>
    <x v="0"/>
  </r>
  <r>
    <n v="479248"/>
    <s v="Electric Vehicle Charging Station"/>
    <s v="Unknown"/>
    <s v="Odisha"/>
    <s v="India"/>
    <n v="20.202786400000001"/>
    <n v="82.936256"/>
    <n v="1"/>
    <s v="Operational"/>
    <s v="Unknown"/>
    <n v="1"/>
    <n v="1"/>
    <x v="0"/>
  </r>
  <r>
    <n v="479246"/>
    <s v="MIRZA RIYAZ HOUSE , CONNON XEROX SERVICE CENTRE,"/>
    <s v="Unknown"/>
    <s v="Odisha"/>
    <s v="India"/>
    <n v="20.029996300000001"/>
    <n v="86.131915000000006"/>
    <n v="1"/>
    <s v="Operational"/>
    <s v="Unknown"/>
    <n v="1"/>
    <n v="1"/>
    <x v="0"/>
  </r>
  <r>
    <n v="479245"/>
    <s v="Jio-bp pulse Charging Station"/>
    <s v="Unknown"/>
    <s v="Odisha"/>
    <s v="India"/>
    <n v="20.036225999999999"/>
    <n v="85.825446999999997"/>
    <n v="1"/>
    <s v="Operational"/>
    <s v="Unknown"/>
    <n v="1"/>
    <n v="1"/>
    <x v="0"/>
  </r>
  <r>
    <n v="479244"/>
    <s v="Jio-bp pulse Charging Station"/>
    <s v="Unknown"/>
    <s v="Odisha"/>
    <s v="India"/>
    <n v="19.9812257"/>
    <n v="85.825119299999997"/>
    <n v="1"/>
    <s v="Operational"/>
    <s v="Unknown"/>
    <n v="1"/>
    <n v="1"/>
    <x v="0"/>
  </r>
  <r>
    <n v="479243"/>
    <s v="Ather Charging Station"/>
    <s v="Unknown"/>
    <s v="Odisha"/>
    <s v="India"/>
    <n v="20.001994"/>
    <n v="85.820541399999996"/>
    <n v="1"/>
    <s v="Operational"/>
    <s v="Unknown"/>
    <n v="1"/>
    <n v="1"/>
    <x v="0"/>
  </r>
  <r>
    <n v="479242"/>
    <s v="Ather Grid Charging Station"/>
    <s v="Unknown"/>
    <s v="Odisha"/>
    <s v="India"/>
    <n v="19.913864"/>
    <n v="85.989750000000001"/>
    <n v="1"/>
    <s v="Not Operational"/>
    <s v="Unknown"/>
    <n v="0"/>
    <n v="0"/>
    <x v="0"/>
  </r>
  <r>
    <n v="479241"/>
    <s v="Electric Vehicle Charging Station"/>
    <s v="Unknown"/>
    <s v="Odisha"/>
    <s v="India"/>
    <n v="20.008977699999999"/>
    <n v="85.813849599999998"/>
    <n v="1"/>
    <s v="Operational"/>
    <s v="Unknown"/>
    <n v="1"/>
    <n v="1"/>
    <x v="0"/>
  </r>
  <r>
    <n v="479240"/>
    <s v="BPCL Charging Station"/>
    <s v="Unknown"/>
    <s v="Odisha"/>
    <s v="India"/>
    <n v="20.009093499999999"/>
    <n v="85.813832000000005"/>
    <n v="1"/>
    <s v="Operational"/>
    <s v="Unknown"/>
    <n v="1"/>
    <n v="1"/>
    <x v="0"/>
  </r>
  <r>
    <n v="479238"/>
    <s v="Hindustan Petroleum Corporation Limited"/>
    <s v="Unknown"/>
    <s v="Odisha"/>
    <s v="India"/>
    <n v="19.887409000000002"/>
    <n v="85.803106"/>
    <n v="1"/>
    <s v="Operational"/>
    <s v="Unknown"/>
    <n v="1"/>
    <n v="1"/>
    <x v="0"/>
  </r>
  <r>
    <n v="479237"/>
    <s v="Ather Grid Charging Station"/>
    <s v="Unknown"/>
    <s v="Odisha"/>
    <s v="India"/>
    <n v="19.864923000000001"/>
    <n v="85.665670000000006"/>
    <n v="1"/>
    <s v="Operational"/>
    <s v="Unknown"/>
    <n v="1"/>
    <n v="1"/>
    <x v="0"/>
  </r>
  <r>
    <n v="479236"/>
    <s v="Tata Power Charging Station"/>
    <s v="Unknown"/>
    <s v="Odisha"/>
    <s v="India"/>
    <n v="19.9604389"/>
    <n v="85.433603099999999"/>
    <n v="1"/>
    <s v="Operational"/>
    <s v="Unknown"/>
    <n v="1"/>
    <n v="1"/>
    <x v="0"/>
  </r>
  <r>
    <n v="479235"/>
    <s v="BPCL Charging Station"/>
    <s v="Unknown"/>
    <s v="Odisha"/>
    <s v="India"/>
    <n v="19.995597"/>
    <n v="85.479968"/>
    <n v="1"/>
    <s v="Operational"/>
    <s v="Unknown"/>
    <n v="1"/>
    <n v="1"/>
    <x v="0"/>
  </r>
  <r>
    <n v="479234"/>
    <s v="Hindustan Petroleum Corporation Limited"/>
    <s v="Unknown"/>
    <s v="Odisha"/>
    <s v="India"/>
    <n v="19.990167199999998"/>
    <n v="85.473652700000002"/>
    <n v="1"/>
    <s v="Operational"/>
    <s v="Unknown"/>
    <n v="1"/>
    <n v="1"/>
    <x v="0"/>
  </r>
  <r>
    <n v="479233"/>
    <s v="Ather Grid Charging Station"/>
    <s v="Unknown"/>
    <s v="Odisha"/>
    <s v="India"/>
    <n v="19.924364000000001"/>
    <n v="84.571349999999995"/>
    <n v="1"/>
    <s v="Operational"/>
    <s v="Unknown"/>
    <n v="1"/>
    <n v="1"/>
    <x v="0"/>
  </r>
  <r>
    <n v="479232"/>
    <s v="Jio-bp"/>
    <s v="Unknown"/>
    <s v="Odisha"/>
    <s v="India"/>
    <n v="20.038906999999998"/>
    <n v="84.638569000000004"/>
    <n v="1"/>
    <s v="Operational"/>
    <s v="Unknown"/>
    <n v="1"/>
    <n v="1"/>
    <x v="0"/>
  </r>
  <r>
    <n v="479231"/>
    <s v="Tata Power Charging Station"/>
    <s v="Unknown"/>
    <s v="Odisha"/>
    <s v="India"/>
    <n v="19.924914999999999"/>
    <n v="83.174075000000002"/>
    <n v="1"/>
    <s v="Operational"/>
    <s v="Unknown"/>
    <n v="1"/>
    <n v="1"/>
    <x v="0"/>
  </r>
  <r>
    <n v="479229"/>
    <s v="G.K Rickshaw"/>
    <s v="Unknown"/>
    <s v="Odisha"/>
    <s v="India"/>
    <n v="19.813480800000001"/>
    <n v="85.836299699999998"/>
    <n v="1"/>
    <s v="Operational"/>
    <s v="Unknown"/>
    <n v="1"/>
    <n v="1"/>
    <x v="0"/>
  </r>
  <r>
    <n v="479228"/>
    <s v="Ather Grid Charging Station"/>
    <s v="Unknown"/>
    <s v="Odisha"/>
    <s v="India"/>
    <n v="19.7952607"/>
    <n v="85.813280899999995"/>
    <n v="1"/>
    <s v="Operational"/>
    <s v="Unknown"/>
    <n v="1"/>
    <n v="1"/>
    <x v="0"/>
  </r>
  <r>
    <n v="479227"/>
    <s v="KACHERI SECTION TPCODL"/>
    <s v="Unknown"/>
    <s v="Odisha"/>
    <s v="India"/>
    <n v="19.802419700000002"/>
    <n v="85.823939899999999"/>
    <n v="1"/>
    <s v="Operational"/>
    <s v="Unknown"/>
    <n v="1"/>
    <n v="1"/>
    <x v="0"/>
  </r>
  <r>
    <n v="479226"/>
    <s v="Relux Charging Station"/>
    <s v="Unknown"/>
    <s v="Odisha"/>
    <s v="India"/>
    <n v="19.790746200000001"/>
    <n v="85.803086800000003"/>
    <n v="1"/>
    <s v="Operational"/>
    <s v="Unknown"/>
    <n v="1"/>
    <n v="1"/>
    <x v="0"/>
  </r>
  <r>
    <n v="479225"/>
    <s v="Electric Vehicle Charging Station"/>
    <s v="Unknown"/>
    <s v="Odisha"/>
    <s v="India"/>
    <n v="19.718938000000001"/>
    <n v="85.5235713"/>
    <n v="1"/>
    <s v="Operational"/>
    <s v="Unknown"/>
    <n v="1"/>
    <n v="1"/>
    <x v="0"/>
  </r>
  <r>
    <n v="479224"/>
    <s v="Ather Grid Charging Station"/>
    <s v="Unknown"/>
    <s v="Odisha"/>
    <s v="India"/>
    <n v="19.799157999999998"/>
    <n v="85.664565999999994"/>
    <n v="1"/>
    <s v="Operational"/>
    <s v="Unknown"/>
    <n v="1"/>
    <n v="1"/>
    <x v="0"/>
  </r>
  <r>
    <n v="479223"/>
    <s v="Ather Grid Charging Station"/>
    <s v="Unknown"/>
    <s v="Odisha"/>
    <s v="India"/>
    <n v="19.719349999999999"/>
    <n v="85.524486800000005"/>
    <n v="1"/>
    <s v="Operational"/>
    <s v="Unknown"/>
    <n v="1"/>
    <n v="1"/>
    <x v="0"/>
  </r>
  <r>
    <n v="479222"/>
    <s v="Jio-bp pulse Charging Station"/>
    <s v="Unknown"/>
    <s v="Odisha"/>
    <s v="India"/>
    <n v="19.678550000000001"/>
    <n v="85.171408999999997"/>
    <n v="1"/>
    <s v="Operational"/>
    <s v="Unknown"/>
    <n v="1"/>
    <n v="1"/>
    <x v="0"/>
  </r>
  <r>
    <n v="479221"/>
    <s v="Tata Power Charging Station"/>
    <s v="Unknown"/>
    <s v="Odisha"/>
    <s v="India"/>
    <n v="19.6782474"/>
    <n v="85.1714786"/>
    <n v="1"/>
    <s v="Operational"/>
    <s v="Unknown"/>
    <n v="1"/>
    <n v="1"/>
    <x v="0"/>
  </r>
  <r>
    <n v="479220"/>
    <s v="Adani Charging Station"/>
    <s v="Unknown"/>
    <s v="Odisha"/>
    <s v="India"/>
    <n v="19.633155500000001"/>
    <n v="85.135326300000003"/>
    <n v="1"/>
    <s v="Operational"/>
    <s v="Unknown"/>
    <n v="1"/>
    <n v="1"/>
    <x v="0"/>
  </r>
  <r>
    <n v="479218"/>
    <s v="Jio-bp"/>
    <s v="Unknown"/>
    <s v="Odisha"/>
    <s v="India"/>
    <n v="19.731375"/>
    <n v="83.479140999999998"/>
    <n v="1"/>
    <s v="Operational"/>
    <s v="Unknown"/>
    <n v="1"/>
    <n v="1"/>
    <x v="0"/>
  </r>
  <r>
    <n v="479217"/>
    <s v="Tata Power Charging Station"/>
    <s v="Unknown"/>
    <s v="Odisha"/>
    <s v="India"/>
    <n v="19.652453000000001"/>
    <n v="82.225618999999995"/>
    <n v="1"/>
    <s v="Operational"/>
    <s v="Unknown"/>
    <n v="1"/>
    <n v="1"/>
    <x v="0"/>
  </r>
  <r>
    <n v="479216"/>
    <s v="Ather Grid Charging Station"/>
    <s v="Unknown"/>
    <s v="Odisha"/>
    <s v="India"/>
    <n v="19.311509999999998"/>
    <n v="84.833539999999999"/>
    <n v="1"/>
    <s v="Operational"/>
    <s v="Unknown"/>
    <n v="1"/>
    <n v="1"/>
    <x v="0"/>
  </r>
  <r>
    <n v="479215"/>
    <s v="Ather Grid Charging Station"/>
    <s v="Unknown"/>
    <s v="Odisha"/>
    <s v="India"/>
    <n v="19.341229999999999"/>
    <n v="84.768450000000001"/>
    <n v="1"/>
    <s v="Operational"/>
    <s v="Unknown"/>
    <n v="1"/>
    <n v="1"/>
    <x v="0"/>
  </r>
  <r>
    <n v="479214"/>
    <s v="Ather Grid Charging Station"/>
    <s v="Unknown"/>
    <s v="Odisha"/>
    <s v="India"/>
    <n v="19.324255000000001"/>
    <n v="84.875029999999995"/>
    <n v="1"/>
    <s v="Operational"/>
    <s v="Unknown"/>
    <n v="1"/>
    <n v="1"/>
    <x v="0"/>
  </r>
  <r>
    <n v="479213"/>
    <s v="Electric Vehicle Charging Station"/>
    <s v="Unknown"/>
    <s v="Odisha"/>
    <s v="India"/>
    <n v="19.317171699999999"/>
    <n v="84.777247399999993"/>
    <n v="1"/>
    <s v="Operational"/>
    <s v="Unknown"/>
    <n v="1"/>
    <n v="1"/>
    <x v="0"/>
  </r>
  <r>
    <n v="479212"/>
    <s v="Electric Vehicle Charging Station"/>
    <s v="Unknown"/>
    <s v="Odisha"/>
    <s v="India"/>
    <n v="19.307138599999998"/>
    <n v="84.829227700000004"/>
    <n v="1"/>
    <s v="Operational"/>
    <s v="Unknown"/>
    <n v="1"/>
    <n v="1"/>
    <x v="0"/>
  </r>
  <r>
    <n v="479211"/>
    <s v="Electric Vehicle Charging Station"/>
    <s v="Unknown"/>
    <s v="Odisha"/>
    <s v="India"/>
    <n v="19.3194175"/>
    <n v="84.784486299999998"/>
    <n v="1"/>
    <s v="Operational"/>
    <s v="Unknown"/>
    <n v="1"/>
    <n v="1"/>
    <x v="0"/>
  </r>
  <r>
    <n v="479210"/>
    <s v="Ather Grid Charging Station"/>
    <s v="Unknown"/>
    <s v="Odisha"/>
    <s v="India"/>
    <n v="19.308461999999999"/>
    <n v="84.77319"/>
    <n v="1"/>
    <s v="Operational"/>
    <s v="Unknown"/>
    <n v="1"/>
    <n v="1"/>
    <x v="0"/>
  </r>
  <r>
    <n v="479209"/>
    <s v="Ather Grid Charging Station"/>
    <s v="Unknown"/>
    <s v="Odisha"/>
    <s v="India"/>
    <n v="19.301504000000001"/>
    <n v="84.830129999999997"/>
    <n v="1"/>
    <s v="Operational"/>
    <s v="Unknown"/>
    <n v="1"/>
    <n v="1"/>
    <x v="0"/>
  </r>
  <r>
    <n v="479208"/>
    <s v="Ather Grid Charging Station"/>
    <s v="Unknown"/>
    <s v="Odisha"/>
    <s v="India"/>
    <n v="19.306038000000001"/>
    <n v="84.781729999999996"/>
    <n v="1"/>
    <s v="Not Operational"/>
    <s v="Unknown"/>
    <n v="0"/>
    <n v="0"/>
    <x v="0"/>
  </r>
  <r>
    <n v="479206"/>
    <s v="Ather Grid Charging Station"/>
    <s v="Unknown"/>
    <s v="Odisha"/>
    <s v="India"/>
    <n v="19.316079999999999"/>
    <n v="84.852779999999996"/>
    <n v="1"/>
    <s v="Operational"/>
    <s v="Unknown"/>
    <n v="1"/>
    <n v="1"/>
    <x v="0"/>
  </r>
  <r>
    <n v="479205"/>
    <s v="Ather Grid Charging Station"/>
    <s v="Unknown"/>
    <s v="Odisha"/>
    <s v="India"/>
    <n v="19.30744"/>
    <n v="84.816649999999996"/>
    <n v="1"/>
    <s v="Operational"/>
    <s v="Unknown"/>
    <n v="1"/>
    <n v="1"/>
    <x v="0"/>
  </r>
  <r>
    <n v="479204"/>
    <s v="Electric Vehicle Charging Station"/>
    <s v="Unknown"/>
    <s v="Odisha"/>
    <s v="India"/>
    <n v="19.317699699999999"/>
    <n v="84.790583600000005"/>
    <n v="1"/>
    <s v="Operational"/>
    <s v="Unknown"/>
    <n v="1"/>
    <n v="1"/>
    <x v="0"/>
  </r>
  <r>
    <n v="479203"/>
    <s v="Ather Grid Charging Station"/>
    <s v="Unknown"/>
    <s v="Odisha"/>
    <s v="India"/>
    <n v="19.321629999999999"/>
    <n v="84.867149999999995"/>
    <n v="1"/>
    <s v="Operational"/>
    <s v="Unknown"/>
    <n v="1"/>
    <n v="1"/>
    <x v="0"/>
  </r>
  <r>
    <n v="479202"/>
    <s v="Ather Grid Charging Station"/>
    <s v="Unknown"/>
    <s v="Odisha"/>
    <s v="India"/>
    <n v="19.319884999999999"/>
    <n v="84.781130000000005"/>
    <n v="1"/>
    <s v="Operational"/>
    <s v="Unknown"/>
    <n v="1"/>
    <n v="1"/>
    <x v="0"/>
  </r>
  <r>
    <n v="479201"/>
    <s v="Ather Grid Charging Station"/>
    <s v="Unknown"/>
    <s v="Odisha"/>
    <s v="India"/>
    <n v="19.2956471"/>
    <n v="84.819565800000007"/>
    <n v="1"/>
    <s v="Operational"/>
    <s v="Unknown"/>
    <n v="1"/>
    <n v="1"/>
    <x v="0"/>
  </r>
  <r>
    <n v="479200"/>
    <s v="BPCL Charging Station"/>
    <s v="Unknown"/>
    <s v="Odisha"/>
    <s v="India"/>
    <n v="19.334627000000001"/>
    <n v="84.768619000000001"/>
    <n v="1"/>
    <s v="Operational"/>
    <s v="Unknown"/>
    <n v="1"/>
    <n v="1"/>
    <x v="0"/>
  </r>
  <r>
    <n v="479199"/>
    <s v="Ather Charging Station"/>
    <s v="Unknown"/>
    <s v="Odisha"/>
    <s v="India"/>
    <n v="19.305727699999998"/>
    <n v="84.781726800000001"/>
    <n v="1"/>
    <s v="Not Operational"/>
    <s v="Unknown"/>
    <n v="0"/>
    <n v="0"/>
    <x v="0"/>
  </r>
  <r>
    <n v="479198"/>
    <s v="Ather Grid Charging Station"/>
    <s v="Unknown"/>
    <s v="Odisha"/>
    <s v="India"/>
    <n v="19.303381000000002"/>
    <n v="84.795044000000004"/>
    <n v="1"/>
    <s v="Operational"/>
    <s v="Unknown"/>
    <n v="1"/>
    <n v="1"/>
    <x v="0"/>
  </r>
  <r>
    <n v="479197"/>
    <s v="Tata Power Charging Station"/>
    <s v="Unknown"/>
    <s v="Odisha"/>
    <s v="India"/>
    <n v="19.299171399999999"/>
    <n v="84.831763100000003"/>
    <n v="1"/>
    <s v="Operational"/>
    <s v="Unknown"/>
    <n v="1"/>
    <n v="1"/>
    <x v="0"/>
  </r>
  <r>
    <n v="479196"/>
    <s v="Maa Tara Tarini Tour And Travels"/>
    <s v="Unknown"/>
    <s v="Odisha"/>
    <s v="India"/>
    <n v="19.447534999999998"/>
    <n v="84.591458000000003"/>
    <n v="1"/>
    <s v="Operational"/>
    <s v="Unknown"/>
    <n v="1"/>
    <n v="1"/>
    <x v="0"/>
  </r>
  <r>
    <n v="479195"/>
    <s v="Electric Vehicle Charging Station"/>
    <s v="Unknown"/>
    <s v="Odisha"/>
    <s v="India"/>
    <n v="19.180776000000002"/>
    <n v="84.725326999999993"/>
    <n v="1"/>
    <s v="Operational"/>
    <s v="Unknown"/>
    <n v="1"/>
    <n v="1"/>
    <x v="0"/>
  </r>
  <r>
    <n v="479194"/>
    <s v="Ather Grid Charging Station"/>
    <s v="Unknown"/>
    <s v="Odisha"/>
    <s v="India"/>
    <n v="19.268920000000001"/>
    <n v="84.777450000000002"/>
    <n v="1"/>
    <s v="Not Operational"/>
    <s v="Unknown"/>
    <n v="0"/>
    <n v="0"/>
    <x v="0"/>
  </r>
  <r>
    <n v="479193"/>
    <s v="BPCL Charging Station"/>
    <s v="Unknown"/>
    <s v="Odisha"/>
    <s v="India"/>
    <n v="19.183323999999999"/>
    <n v="84.727615999999998"/>
    <n v="1"/>
    <s v="Operational"/>
    <s v="Unknown"/>
    <n v="1"/>
    <n v="1"/>
    <x v="0"/>
  </r>
  <r>
    <n v="479192"/>
    <s v="Ather Grid Charging Station"/>
    <s v="Unknown"/>
    <s v="Odisha"/>
    <s v="India"/>
    <n v="19.194212"/>
    <n v="84.617559999999997"/>
    <n v="1"/>
    <s v="Operational"/>
    <s v="Unknown"/>
    <n v="1"/>
    <n v="1"/>
    <x v="0"/>
  </r>
  <r>
    <n v="479191"/>
    <s v="Ather Grid Charging Station"/>
    <s v="Unknown"/>
    <s v="Odisha"/>
    <s v="India"/>
    <n v="18.845465000000001"/>
    <n v="84.503100000000003"/>
    <n v="1"/>
    <s v="Operational"/>
    <s v="Unknown"/>
    <n v="1"/>
    <n v="1"/>
    <x v="0"/>
  </r>
  <r>
    <n v="479190"/>
    <s v="DIMILI VILLAGE"/>
    <s v="Unknown"/>
    <s v="Odisha"/>
    <s v="India"/>
    <n v="18.802062500000002"/>
    <n v="83.991812499999995"/>
    <n v="1"/>
    <s v="Operational"/>
    <s v="Unknown"/>
    <n v="1"/>
    <n v="1"/>
    <x v="0"/>
  </r>
  <r>
    <n v="479189"/>
    <s v="Electric Vehicle Charging Station"/>
    <s v="Unknown"/>
    <s v="Odisha"/>
    <s v="India"/>
    <n v="18.768916699999998"/>
    <n v="83.421538699999999"/>
    <n v="1"/>
    <s v="Operational"/>
    <s v="Unknown"/>
    <n v="1"/>
    <n v="1"/>
    <x v="0"/>
  </r>
  <r>
    <n v="479188"/>
    <s v="Tata Power Charging Station"/>
    <s v="Unknown"/>
    <s v="Odisha"/>
    <s v="India"/>
    <n v="18.8582131"/>
    <n v="82.589905099999996"/>
    <n v="1"/>
    <s v="Operational"/>
    <s v="Unknown"/>
    <n v="1"/>
    <n v="1"/>
    <x v="0"/>
  </r>
  <r>
    <n v="479186"/>
    <s v="Ather Grid Charging Station"/>
    <s v="Unknown"/>
    <s v="Odisha"/>
    <s v="India"/>
    <n v="18.606024000000001"/>
    <n v="84.229915000000005"/>
    <n v="1"/>
    <s v="Operational"/>
    <s v="Unknown"/>
    <n v="1"/>
    <n v="1"/>
    <x v="0"/>
  </r>
  <r>
    <n v="479185"/>
    <s v="Tata Power Charging Station"/>
    <s v="Unknown"/>
    <s v="Odisha"/>
    <s v="India"/>
    <n v="18.534752999999998"/>
    <n v="83.651338999999993"/>
    <n v="1"/>
    <s v="Operational"/>
    <s v="Unknown"/>
    <n v="1"/>
    <n v="1"/>
    <x v="0"/>
  </r>
  <r>
    <n v="479184"/>
    <s v="okinawa electric scooter"/>
    <s v="Unknown"/>
    <s v="Odisha"/>
    <s v="India"/>
    <n v="18.597046500000001"/>
    <n v="83.764094499999999"/>
    <n v="1"/>
    <s v="Operational"/>
    <s v="Unknown"/>
    <n v="1"/>
    <n v="1"/>
    <x v="0"/>
  </r>
  <r>
    <n v="479183"/>
    <s v="Electric Vehicle Charging Station"/>
    <s v="Unknown"/>
    <s v="Odisha"/>
    <s v="India"/>
    <n v="18.610439400000001"/>
    <n v="83.399228500000007"/>
    <n v="1"/>
    <s v="Operational"/>
    <s v="Unknown"/>
    <n v="1"/>
    <n v="1"/>
    <x v="0"/>
  </r>
  <r>
    <n v="479182"/>
    <s v="Tata Power Charging Station"/>
    <s v="Unknown"/>
    <s v="Odisha"/>
    <s v="India"/>
    <n v="18.503509300000001"/>
    <n v="83.246970500000003"/>
    <n v="1"/>
    <s v="Operational"/>
    <s v="Unknown"/>
    <n v="1"/>
    <n v="1"/>
    <x v="0"/>
  </r>
  <r>
    <n v="479181"/>
    <s v="Jio-bp"/>
    <s v="Unknown"/>
    <s v="Odisha"/>
    <s v="India"/>
    <n v="18.701207799999999"/>
    <n v="82.879836999999995"/>
    <n v="1"/>
    <s v="Operational"/>
    <s v="Unknown"/>
    <n v="1"/>
    <n v="1"/>
    <x v="0"/>
  </r>
  <r>
    <n v="479180"/>
    <s v="Ather Grid Charging Station"/>
    <s v="Unknown"/>
    <s v="Odisha"/>
    <s v="India"/>
    <n v="18.295933000000002"/>
    <n v="83.893147999999997"/>
    <n v="1"/>
    <s v="Operational"/>
    <s v="Unknown"/>
    <n v="1"/>
    <n v="1"/>
    <x v="0"/>
  </r>
  <r>
    <n v="479179"/>
    <s v="Jio-bp pulse Charging Station"/>
    <s v="Unknown"/>
    <s v="Odisha"/>
    <s v="India"/>
    <n v="18.326279100000001"/>
    <n v="83.941267999999994"/>
    <n v="1"/>
    <s v="Operational"/>
    <s v="Unknown"/>
    <n v="1"/>
    <n v="1"/>
    <x v="0"/>
  </r>
  <r>
    <n v="479178"/>
    <s v="Tata Power Charging Station"/>
    <s v="Unknown"/>
    <s v="Odisha"/>
    <s v="India"/>
    <n v="18.324358799999999"/>
    <n v="83.939110200000002"/>
    <n v="1"/>
    <s v="Operational"/>
    <s v="Unknown"/>
    <n v="1"/>
    <n v="1"/>
    <x v="0"/>
  </r>
  <r>
    <n v="479177"/>
    <s v="DK MOTORS"/>
    <s v="Unknown"/>
    <s v="Odisha"/>
    <s v="India"/>
    <n v="18.322673600000002"/>
    <n v="83.893721999999997"/>
    <n v="1"/>
    <s v="Operational"/>
    <s v="Unknown"/>
    <n v="1"/>
    <n v="1"/>
    <x v="0"/>
  </r>
  <r>
    <n v="479176"/>
    <s v="Urzza Charging Station"/>
    <s v="Unknown"/>
    <s v="Odisha"/>
    <s v="India"/>
    <n v="18.424328500000001"/>
    <n v="84.048024600000005"/>
    <n v="1"/>
    <s v="Operational"/>
    <s v="Unknown"/>
    <n v="1"/>
    <n v="1"/>
    <x v="0"/>
  </r>
  <r>
    <n v="479175"/>
    <s v="Ather Energy Charging Station"/>
    <s v="Unknown"/>
    <s v="Odisha"/>
    <s v="India"/>
    <n v="18.309546000000001"/>
    <n v="83.918819999999997"/>
    <n v="1"/>
    <s v="Operational"/>
    <s v="Unknown"/>
    <n v="1"/>
    <n v="1"/>
    <x v="0"/>
  </r>
  <r>
    <n v="479174"/>
    <s v="Voltran Charging Station"/>
    <s v="Unknown"/>
    <s v="Odisha"/>
    <s v="India"/>
    <n v="18.300440800000001"/>
    <n v="83.871162799999993"/>
    <n v="1"/>
    <s v="Operational"/>
    <s v="Unknown"/>
    <n v="1"/>
    <n v="1"/>
    <x v="0"/>
  </r>
  <r>
    <n v="479173"/>
    <s v="Jio-bp"/>
    <s v="Unknown"/>
    <s v="Odisha"/>
    <s v="India"/>
    <n v="18.289377999999999"/>
    <n v="83.914593999999994"/>
    <n v="1"/>
    <s v="Operational"/>
    <s v="Unknown"/>
    <n v="1"/>
    <n v="1"/>
    <x v="0"/>
  </r>
  <r>
    <n v="479172"/>
    <s v="Ather Grid Charging Station"/>
    <s v="Unknown"/>
    <s v="Odisha"/>
    <s v="India"/>
    <n v="18.279175599999999"/>
    <n v="83.526138599999996"/>
    <n v="1"/>
    <s v="Operational"/>
    <s v="Unknown"/>
    <n v="1"/>
    <n v="1"/>
    <x v="0"/>
  </r>
  <r>
    <n v="479171"/>
    <s v="AtherGrid Charging Station"/>
    <s v="Unknown"/>
    <s v="Odisha"/>
    <s v="India"/>
    <n v="18.337203800000001"/>
    <n v="82.877925500000003"/>
    <n v="1"/>
    <s v="Operational"/>
    <s v="Unknown"/>
    <n v="1"/>
    <n v="1"/>
    <x v="0"/>
  </r>
  <r>
    <n v="479170"/>
    <s v="Ather Grid Charging Station"/>
    <s v="Unknown"/>
    <s v="Odisha"/>
    <s v="India"/>
    <n v="18.3225938"/>
    <n v="82.877651799999995"/>
    <n v="1"/>
    <s v="Operational"/>
    <s v="Unknown"/>
    <n v="1"/>
    <n v="1"/>
    <x v="0"/>
  </r>
  <r>
    <n v="479169"/>
    <s v="Charzer Charging Station"/>
    <s v="Unknown"/>
    <s v="Odisha"/>
    <s v="India"/>
    <n v="18.295865200000001"/>
    <n v="82.914474799999994"/>
    <n v="1"/>
    <s v="Operational"/>
    <s v="Unknown"/>
    <n v="1"/>
    <n v="1"/>
    <x v="0"/>
  </r>
  <r>
    <n v="479168"/>
    <s v="Electric Vehicle Charging Station"/>
    <s v="Unknown"/>
    <s v="Odisha"/>
    <s v="India"/>
    <n v="18.313714099999999"/>
    <n v="82.893742399999994"/>
    <n v="1"/>
    <s v="Operational"/>
    <s v="Unknown"/>
    <n v="1"/>
    <n v="1"/>
    <x v="0"/>
  </r>
  <r>
    <n v="479167"/>
    <s v="Tata Power Charging Station"/>
    <s v="Unknown"/>
    <s v="Odisha"/>
    <s v="India"/>
    <n v="18.139519"/>
    <n v="83.617594999999994"/>
    <n v="1"/>
    <s v="Operational"/>
    <s v="Unknown"/>
    <n v="1"/>
    <n v="1"/>
    <x v="0"/>
  </r>
  <r>
    <n v="479166"/>
    <s v="Jio-bp pulse Charging Station"/>
    <s v="Unknown"/>
    <s v="Odisha"/>
    <s v="India"/>
    <n v="18.1499177"/>
    <n v="83.635310599999997"/>
    <n v="1"/>
    <s v="Operational"/>
    <s v="Unknown"/>
    <n v="1"/>
    <n v="1"/>
    <x v="0"/>
  </r>
  <r>
    <n v="479165"/>
    <s v="Tata Power Charging Station"/>
    <s v="Unknown"/>
    <s v="Odisha"/>
    <s v="India"/>
    <n v="18.173031999999999"/>
    <n v="83.676948999999993"/>
    <n v="1"/>
    <s v="Operational"/>
    <s v="Unknown"/>
    <n v="1"/>
    <n v="1"/>
    <x v="0"/>
  </r>
  <r>
    <n v="479164"/>
    <s v="JoulePoint Charging Station"/>
    <s v="Unknown"/>
    <s v="Odisha"/>
    <s v="India"/>
    <n v="18.0418515"/>
    <n v="83.509722100000005"/>
    <n v="1"/>
    <s v="Operational"/>
    <s v="Unknown"/>
    <n v="1"/>
    <n v="1"/>
    <x v="0"/>
  </r>
  <r>
    <n v="479163"/>
    <s v="Bolt.Earth Charging Station"/>
    <s v="Unknown"/>
    <s v="Odisha"/>
    <s v="India"/>
    <n v="18.020385699999999"/>
    <n v="83.4020948"/>
    <n v="1"/>
    <s v="Operational"/>
    <s v="Unknown"/>
    <n v="1"/>
    <n v="1"/>
    <x v="0"/>
  </r>
  <r>
    <n v="479162"/>
    <s v="Ather Grid Charging Station"/>
    <s v="Unknown"/>
    <s v="Odisha"/>
    <s v="India"/>
    <n v="18.056500700000001"/>
    <n v="83.397112800000002"/>
    <n v="1"/>
    <s v="Operational"/>
    <s v="Unknown"/>
    <n v="1"/>
    <n v="1"/>
    <x v="0"/>
  </r>
  <r>
    <n v="479161"/>
    <s v="Electric Vehicle Charging Station"/>
    <s v="Unknown"/>
    <s v="Odisha"/>
    <s v="India"/>
    <n v="18.057097200000001"/>
    <n v="83.397188099999994"/>
    <n v="1"/>
    <s v="Operational"/>
    <s v="Unknown"/>
    <n v="1"/>
    <n v="1"/>
    <x v="0"/>
  </r>
  <r>
    <n v="479160"/>
    <s v="ParkNConnect Charging Station"/>
    <s v="Unknown"/>
    <s v="Odisha"/>
    <s v="India"/>
    <n v="18.092801600000001"/>
    <n v="83.388404699999995"/>
    <n v="1"/>
    <s v="Operational"/>
    <s v="Unknown"/>
    <n v="1"/>
    <n v="1"/>
    <x v="0"/>
  </r>
  <r>
    <n v="479159"/>
    <s v="Ather Grid Charging Station"/>
    <s v="Unknown"/>
    <s v="Odisha"/>
    <s v="India"/>
    <n v="18.080786"/>
    <n v="83.385279999999995"/>
    <n v="1"/>
    <s v="Operational"/>
    <s v="Unknown"/>
    <n v="1"/>
    <n v="1"/>
    <x v="0"/>
  </r>
  <r>
    <n v="479158"/>
    <s v="Hindustan Petroleum Corporation Limited Charging Station"/>
    <s v="Unknown"/>
    <s v="Odisha"/>
    <s v="India"/>
    <n v="17.9524227"/>
    <n v="83.416358099999997"/>
    <n v="1"/>
    <s v="Operational"/>
    <s v="Unknown"/>
    <n v="1"/>
    <n v="1"/>
    <x v="0"/>
  </r>
  <r>
    <n v="479157"/>
    <s v="Ather Grid Charging Station"/>
    <s v="Unknown"/>
    <s v="Odisha"/>
    <s v="India"/>
    <n v="18.080143799999998"/>
    <n v="83.385350900000006"/>
    <n v="1"/>
    <s v="Operational"/>
    <s v="Unknown"/>
    <n v="1"/>
    <n v="1"/>
    <x v="0"/>
  </r>
  <r>
    <n v="479156"/>
    <s v="Hindustan Petroleum Corporation Limited"/>
    <s v="Unknown"/>
    <s v="Odisha"/>
    <s v="India"/>
    <n v="17.952421000000001"/>
    <n v="83.416310999999993"/>
    <n v="1"/>
    <s v="Operational"/>
    <s v="Unknown"/>
    <n v="1"/>
    <n v="1"/>
    <x v="0"/>
  </r>
  <r>
    <n v="479155"/>
    <s v="Tata Power Charging Station"/>
    <s v="Unknown"/>
    <s v="Odisha"/>
    <s v="India"/>
    <n v="17.957767700000002"/>
    <n v="83.177360399999998"/>
    <n v="1"/>
    <s v="Operational"/>
    <s v="Unknown"/>
    <n v="1"/>
    <n v="1"/>
    <x v="0"/>
  </r>
  <r>
    <n v="479154"/>
    <s v="Ather Grid Charging Station"/>
    <s v="Unknown"/>
    <s v="Odisha"/>
    <s v="India"/>
    <n v="18.116682000000001"/>
    <n v="83.137720000000002"/>
    <n v="1"/>
    <s v="Operational"/>
    <s v="Unknown"/>
    <n v="1"/>
    <n v="1"/>
    <x v="0"/>
  </r>
  <r>
    <n v="479153"/>
    <s v="Tata Power Charging Station"/>
    <s v="Unknown"/>
    <s v="Odisha"/>
    <s v="India"/>
    <n v="17.957767700000002"/>
    <n v="83.177360399999998"/>
    <n v="1"/>
    <s v="Operational"/>
    <s v="Unknown"/>
    <n v="1"/>
    <n v="1"/>
    <x v="0"/>
  </r>
  <r>
    <n v="479152"/>
    <s v="Ather Grid Charging Station"/>
    <s v="Unknown"/>
    <s v="Odisha"/>
    <s v="India"/>
    <n v="18.116682000000001"/>
    <n v="83.137720000000002"/>
    <n v="1"/>
    <s v="Operational"/>
    <s v="Unknown"/>
    <n v="1"/>
    <n v="1"/>
    <x v="0"/>
  </r>
  <r>
    <n v="479145"/>
    <s v="BPCL Charging Station"/>
    <s v="Unknown"/>
    <s v="Odisha"/>
    <s v="India"/>
    <n v="19.995597"/>
    <n v="85.479968"/>
    <n v="1"/>
    <s v="Operational"/>
    <s v="Unknown"/>
    <n v="1"/>
    <n v="1"/>
    <x v="0"/>
  </r>
  <r>
    <n v="479144"/>
    <s v="Hindustan Petroleum Corporation Limited"/>
    <s v="Unknown"/>
    <s v="Odisha"/>
    <s v="India"/>
    <n v="19.990167199999998"/>
    <n v="85.473652700000002"/>
    <n v="1"/>
    <s v="Operational"/>
    <s v="Unknown"/>
    <n v="1"/>
    <n v="1"/>
    <x v="0"/>
  </r>
  <r>
    <n v="479143"/>
    <s v="Ather Grid Charging Station"/>
    <s v="Unknown"/>
    <s v="Odisha"/>
    <s v="India"/>
    <n v="19.924364000000001"/>
    <n v="84.571349999999995"/>
    <n v="1"/>
    <s v="Operational"/>
    <s v="Unknown"/>
    <n v="1"/>
    <n v="1"/>
    <x v="0"/>
  </r>
  <r>
    <n v="479142"/>
    <s v="Jio-bp"/>
    <s v="Unknown"/>
    <s v="Odisha"/>
    <s v="India"/>
    <n v="20.038906999999998"/>
    <n v="84.638569000000004"/>
    <n v="1"/>
    <s v="Operational"/>
    <s v="Unknown"/>
    <n v="1"/>
    <n v="1"/>
    <x v="0"/>
  </r>
  <r>
    <n v="479141"/>
    <s v="Tata Power Charging Station"/>
    <s v="Unknown"/>
    <s v="Odisha"/>
    <s v="India"/>
    <n v="19.924914999999999"/>
    <n v="83.174075000000002"/>
    <n v="1"/>
    <s v="Operational"/>
    <s v="Unknown"/>
    <n v="1"/>
    <n v="1"/>
    <x v="0"/>
  </r>
  <r>
    <n v="479139"/>
    <s v="G.K Rickshaw"/>
    <s v="Unknown"/>
    <s v="Odisha"/>
    <s v="India"/>
    <n v="19.813480800000001"/>
    <n v="85.836299699999998"/>
    <n v="1"/>
    <s v="Operational"/>
    <s v="Unknown"/>
    <n v="1"/>
    <n v="1"/>
    <x v="0"/>
  </r>
  <r>
    <n v="479138"/>
    <s v="Ather Grid Charging Station"/>
    <s v="Unknown"/>
    <s v="Odisha"/>
    <s v="India"/>
    <n v="19.7952607"/>
    <n v="85.813280899999995"/>
    <n v="1"/>
    <s v="Operational"/>
    <s v="Unknown"/>
    <n v="1"/>
    <n v="1"/>
    <x v="0"/>
  </r>
  <r>
    <n v="479137"/>
    <s v="KACHERI SECTION TPCODL"/>
    <s v="Unknown"/>
    <s v="Odisha"/>
    <s v="India"/>
    <n v="19.802419700000002"/>
    <n v="85.823939899999999"/>
    <n v="1"/>
    <s v="Operational"/>
    <s v="Unknown"/>
    <n v="1"/>
    <n v="1"/>
    <x v="0"/>
  </r>
  <r>
    <n v="479136"/>
    <s v="Relux Charging Station"/>
    <s v="Unknown"/>
    <s v="Odisha"/>
    <s v="India"/>
    <n v="19.790746200000001"/>
    <n v="85.803086800000003"/>
    <n v="1"/>
    <s v="Operational"/>
    <s v="Unknown"/>
    <n v="1"/>
    <n v="1"/>
    <x v="0"/>
  </r>
  <r>
    <n v="479135"/>
    <s v="Electric Vehicle Charging Station"/>
    <s v="Unknown"/>
    <s v="Odisha"/>
    <s v="India"/>
    <n v="19.718938000000001"/>
    <n v="85.5235713"/>
    <n v="1"/>
    <s v="Operational"/>
    <s v="Unknown"/>
    <n v="1"/>
    <n v="1"/>
    <x v="0"/>
  </r>
  <r>
    <n v="479134"/>
    <s v="Ather Grid Charging Station"/>
    <s v="Unknown"/>
    <s v="Odisha"/>
    <s v="India"/>
    <n v="19.799157999999998"/>
    <n v="85.664565999999994"/>
    <n v="1"/>
    <s v="Operational"/>
    <s v="Unknown"/>
    <n v="1"/>
    <n v="1"/>
    <x v="0"/>
  </r>
  <r>
    <n v="479133"/>
    <s v="Ather Grid Charging Station"/>
    <s v="Unknown"/>
    <s v="Odisha"/>
    <s v="India"/>
    <n v="19.719349999999999"/>
    <n v="85.524486800000005"/>
    <n v="1"/>
    <s v="Operational"/>
    <s v="Unknown"/>
    <n v="1"/>
    <n v="1"/>
    <x v="0"/>
  </r>
  <r>
    <n v="479132"/>
    <s v="Jio-bp pulse Charging Station"/>
    <s v="Unknown"/>
    <s v="Odisha"/>
    <s v="India"/>
    <n v="19.678550000000001"/>
    <n v="85.171408999999997"/>
    <n v="1"/>
    <s v="Operational"/>
    <s v="Unknown"/>
    <n v="1"/>
    <n v="1"/>
    <x v="0"/>
  </r>
  <r>
    <n v="479131"/>
    <s v="Tata Power Charging Station"/>
    <s v="Unknown"/>
    <s v="Odisha"/>
    <s v="India"/>
    <n v="19.6782474"/>
    <n v="85.1714786"/>
    <n v="1"/>
    <s v="Operational"/>
    <s v="Unknown"/>
    <n v="1"/>
    <n v="1"/>
    <x v="0"/>
  </r>
  <r>
    <n v="479130"/>
    <s v="Adani Charging Station"/>
    <s v="Unknown"/>
    <s v="Odisha"/>
    <s v="India"/>
    <n v="19.633155500000001"/>
    <n v="85.135326300000003"/>
    <n v="1"/>
    <s v="Operational"/>
    <s v="Unknown"/>
    <n v="1"/>
    <n v="1"/>
    <x v="0"/>
  </r>
  <r>
    <n v="479128"/>
    <s v="Jio-bp"/>
    <s v="Unknown"/>
    <s v="Odisha"/>
    <s v="India"/>
    <n v="19.731375"/>
    <n v="83.479140999999998"/>
    <n v="1"/>
    <s v="Operational"/>
    <s v="Unknown"/>
    <n v="1"/>
    <n v="1"/>
    <x v="0"/>
  </r>
  <r>
    <n v="479127"/>
    <s v="Tata Power Charging Station"/>
    <s v="Unknown"/>
    <s v="Odisha"/>
    <s v="India"/>
    <n v="19.652453000000001"/>
    <n v="82.225618999999995"/>
    <n v="1"/>
    <s v="Operational"/>
    <s v="Unknown"/>
    <n v="1"/>
    <n v="1"/>
    <x v="0"/>
  </r>
  <r>
    <n v="479126"/>
    <s v="Ather Grid Charging Station"/>
    <s v="Unknown"/>
    <s v="Odisha"/>
    <s v="India"/>
    <n v="19.311509999999998"/>
    <n v="84.833539999999999"/>
    <n v="1"/>
    <s v="Operational"/>
    <s v="Unknown"/>
    <n v="1"/>
    <n v="1"/>
    <x v="0"/>
  </r>
  <r>
    <n v="479125"/>
    <s v="Ather Grid Charging Station"/>
    <s v="Unknown"/>
    <s v="Odisha"/>
    <s v="India"/>
    <n v="19.341229999999999"/>
    <n v="84.768450000000001"/>
    <n v="1"/>
    <s v="Operational"/>
    <s v="Unknown"/>
    <n v="1"/>
    <n v="1"/>
    <x v="0"/>
  </r>
  <r>
    <n v="479124"/>
    <s v="Ather Grid Charging Station"/>
    <s v="Unknown"/>
    <s v="Odisha"/>
    <s v="India"/>
    <n v="19.324255000000001"/>
    <n v="84.875029999999995"/>
    <n v="1"/>
    <s v="Operational"/>
    <s v="Unknown"/>
    <n v="1"/>
    <n v="1"/>
    <x v="0"/>
  </r>
  <r>
    <n v="479123"/>
    <s v="Electric Vehicle Charging Station"/>
    <s v="Unknown"/>
    <s v="Odisha"/>
    <s v="India"/>
    <n v="19.317171699999999"/>
    <n v="84.777247399999993"/>
    <n v="1"/>
    <s v="Operational"/>
    <s v="Unknown"/>
    <n v="1"/>
    <n v="1"/>
    <x v="0"/>
  </r>
  <r>
    <n v="479122"/>
    <s v="Electric Vehicle Charging Station"/>
    <s v="Unknown"/>
    <s v="Odisha"/>
    <s v="India"/>
    <n v="19.307138599999998"/>
    <n v="84.829227700000004"/>
    <n v="1"/>
    <s v="Operational"/>
    <s v="Unknown"/>
    <n v="1"/>
    <n v="1"/>
    <x v="0"/>
  </r>
  <r>
    <n v="479121"/>
    <s v="Electric Vehicle Charging Station"/>
    <s v="Unknown"/>
    <s v="Odisha"/>
    <s v="India"/>
    <n v="19.3194175"/>
    <n v="84.784486299999998"/>
    <n v="1"/>
    <s v="Operational"/>
    <s v="Unknown"/>
    <n v="1"/>
    <n v="1"/>
    <x v="0"/>
  </r>
  <r>
    <n v="479120"/>
    <s v="Ather Grid Charging Station"/>
    <s v="Unknown"/>
    <s v="Odisha"/>
    <s v="India"/>
    <n v="19.308461999999999"/>
    <n v="84.77319"/>
    <n v="1"/>
    <s v="Operational"/>
    <s v="Unknown"/>
    <n v="1"/>
    <n v="1"/>
    <x v="0"/>
  </r>
  <r>
    <n v="479119"/>
    <s v="Ather Grid Charging Station"/>
    <s v="Unknown"/>
    <s v="Odisha"/>
    <s v="India"/>
    <n v="19.301504000000001"/>
    <n v="84.830129999999997"/>
    <n v="1"/>
    <s v="Operational"/>
    <s v="Unknown"/>
    <n v="1"/>
    <n v="1"/>
    <x v="0"/>
  </r>
  <r>
    <n v="479118"/>
    <s v="Ather Grid Charging Station"/>
    <s v="Unknown"/>
    <s v="Odisha"/>
    <s v="India"/>
    <n v="19.306038000000001"/>
    <n v="84.781729999999996"/>
    <n v="1"/>
    <s v="Not Operational"/>
    <s v="Unknown"/>
    <n v="0"/>
    <n v="0"/>
    <x v="0"/>
  </r>
  <r>
    <n v="479116"/>
    <s v="Ather Grid Charging Station"/>
    <s v="Unknown"/>
    <s v="Odisha"/>
    <s v="India"/>
    <n v="19.316079999999999"/>
    <n v="84.852779999999996"/>
    <n v="1"/>
    <s v="Operational"/>
    <s v="Unknown"/>
    <n v="1"/>
    <n v="1"/>
    <x v="0"/>
  </r>
  <r>
    <n v="479115"/>
    <s v="Ather Grid Charging Station"/>
    <s v="Unknown"/>
    <s v="Odisha"/>
    <s v="India"/>
    <n v="19.30744"/>
    <n v="84.816649999999996"/>
    <n v="1"/>
    <s v="Operational"/>
    <s v="Unknown"/>
    <n v="1"/>
    <n v="1"/>
    <x v="0"/>
  </r>
  <r>
    <n v="479114"/>
    <s v="Electric Vehicle Charging Station"/>
    <s v="Unknown"/>
    <s v="Odisha"/>
    <s v="India"/>
    <n v="19.317699699999999"/>
    <n v="84.790583600000005"/>
    <n v="1"/>
    <s v="Operational"/>
    <s v="Unknown"/>
    <n v="1"/>
    <n v="1"/>
    <x v="0"/>
  </r>
  <r>
    <n v="479113"/>
    <s v="Ather Grid Charging Station"/>
    <s v="Unknown"/>
    <s v="Odisha"/>
    <s v="India"/>
    <n v="19.321629999999999"/>
    <n v="84.867149999999995"/>
    <n v="1"/>
    <s v="Operational"/>
    <s v="Unknown"/>
    <n v="1"/>
    <n v="1"/>
    <x v="0"/>
  </r>
  <r>
    <n v="479112"/>
    <s v="Ather Grid Charging Station"/>
    <s v="Unknown"/>
    <s v="Odisha"/>
    <s v="India"/>
    <n v="19.319884999999999"/>
    <n v="84.781130000000005"/>
    <n v="1"/>
    <s v="Operational"/>
    <s v="Unknown"/>
    <n v="1"/>
    <n v="1"/>
    <x v="0"/>
  </r>
  <r>
    <n v="479111"/>
    <s v="Ather Grid Charging Station"/>
    <s v="Unknown"/>
    <s v="Odisha"/>
    <s v="India"/>
    <n v="19.2956471"/>
    <n v="84.819565800000007"/>
    <n v="1"/>
    <s v="Operational"/>
    <s v="Unknown"/>
    <n v="1"/>
    <n v="1"/>
    <x v="0"/>
  </r>
  <r>
    <n v="479110"/>
    <s v="BPCL Charging Station"/>
    <s v="Unknown"/>
    <s v="Odisha"/>
    <s v="India"/>
    <n v="19.334627000000001"/>
    <n v="84.768619000000001"/>
    <n v="1"/>
    <s v="Operational"/>
    <s v="Unknown"/>
    <n v="1"/>
    <n v="1"/>
    <x v="0"/>
  </r>
  <r>
    <n v="479109"/>
    <s v="Ather Charging Station"/>
    <s v="Unknown"/>
    <s v="Odisha"/>
    <s v="India"/>
    <n v="19.305727699999998"/>
    <n v="84.781726800000001"/>
    <n v="1"/>
    <s v="Not Operational"/>
    <s v="Unknown"/>
    <n v="0"/>
    <n v="0"/>
    <x v="0"/>
  </r>
  <r>
    <n v="479108"/>
    <s v="Ather Grid Charging Station"/>
    <s v="Unknown"/>
    <s v="Odisha"/>
    <s v="India"/>
    <n v="19.303381000000002"/>
    <n v="84.795044000000004"/>
    <n v="1"/>
    <s v="Operational"/>
    <s v="Unknown"/>
    <n v="1"/>
    <n v="1"/>
    <x v="0"/>
  </r>
  <r>
    <n v="479107"/>
    <s v="Tata Power Charging Station"/>
    <s v="Unknown"/>
    <s v="Odisha"/>
    <s v="India"/>
    <n v="19.299171399999999"/>
    <n v="84.831763100000003"/>
    <n v="1"/>
    <s v="Operational"/>
    <s v="Unknown"/>
    <n v="1"/>
    <n v="1"/>
    <x v="0"/>
  </r>
  <r>
    <n v="479106"/>
    <s v="Maa Tara Tarini Tour And Travels"/>
    <s v="Unknown"/>
    <s v="Odisha"/>
    <s v="India"/>
    <n v="19.447534999999998"/>
    <n v="84.591458000000003"/>
    <n v="1"/>
    <s v="Operational"/>
    <s v="Unknown"/>
    <n v="1"/>
    <n v="1"/>
    <x v="0"/>
  </r>
  <r>
    <n v="479105"/>
    <s v="Electric Vehicle Charging Station"/>
    <s v="Unknown"/>
    <s v="Odisha"/>
    <s v="India"/>
    <n v="19.180776000000002"/>
    <n v="84.725326999999993"/>
    <n v="1"/>
    <s v="Operational"/>
    <s v="Unknown"/>
    <n v="1"/>
    <n v="1"/>
    <x v="0"/>
  </r>
  <r>
    <n v="479104"/>
    <s v="Ather Grid Charging Station"/>
    <s v="Unknown"/>
    <s v="Odisha"/>
    <s v="India"/>
    <n v="19.268920000000001"/>
    <n v="84.777450000000002"/>
    <n v="1"/>
    <s v="Not Operational"/>
    <s v="Unknown"/>
    <n v="0"/>
    <n v="0"/>
    <x v="0"/>
  </r>
  <r>
    <n v="479103"/>
    <s v="BPCL Charging Station"/>
    <s v="Unknown"/>
    <s v="Odisha"/>
    <s v="India"/>
    <n v="19.183323999999999"/>
    <n v="84.727615999999998"/>
    <n v="1"/>
    <s v="Operational"/>
    <s v="Unknown"/>
    <n v="1"/>
    <n v="1"/>
    <x v="0"/>
  </r>
  <r>
    <n v="479102"/>
    <s v="Ather Grid Charging Station"/>
    <s v="Unknown"/>
    <s v="Odisha"/>
    <s v="India"/>
    <n v="19.194212"/>
    <n v="84.617559999999997"/>
    <n v="1"/>
    <s v="Operational"/>
    <s v="Unknown"/>
    <n v="1"/>
    <n v="1"/>
    <x v="0"/>
  </r>
  <r>
    <n v="479101"/>
    <s v="Ather Grid Charging Station"/>
    <s v="Unknown"/>
    <s v="Odisha"/>
    <s v="India"/>
    <n v="18.845465000000001"/>
    <n v="84.503100000000003"/>
    <n v="1"/>
    <s v="Operational"/>
    <s v="Unknown"/>
    <n v="1"/>
    <n v="1"/>
    <x v="0"/>
  </r>
  <r>
    <n v="479100"/>
    <s v="DIMILI VILLAGE"/>
    <s v="Unknown"/>
    <s v="Odisha"/>
    <s v="India"/>
    <n v="18.802062500000002"/>
    <n v="83.991812499999995"/>
    <n v="1"/>
    <s v="Operational"/>
    <s v="Unknown"/>
    <n v="1"/>
    <n v="1"/>
    <x v="0"/>
  </r>
  <r>
    <n v="479099"/>
    <s v="Electric Vehicle Charging Station"/>
    <s v="Unknown"/>
    <s v="Odisha"/>
    <s v="India"/>
    <n v="18.768916699999998"/>
    <n v="83.421538699999999"/>
    <n v="1"/>
    <s v="Operational"/>
    <s v="Unknown"/>
    <n v="1"/>
    <n v="1"/>
    <x v="0"/>
  </r>
  <r>
    <n v="479098"/>
    <s v="Tata Power Charging Station"/>
    <s v="Unknown"/>
    <s v="Odisha"/>
    <s v="India"/>
    <n v="18.8582131"/>
    <n v="82.589905099999996"/>
    <n v="1"/>
    <s v="Operational"/>
    <s v="Unknown"/>
    <n v="1"/>
    <n v="1"/>
    <x v="0"/>
  </r>
  <r>
    <n v="479096"/>
    <s v="Ather Grid Charging Station"/>
    <s v="Unknown"/>
    <s v="Odisha"/>
    <s v="India"/>
    <n v="18.606024000000001"/>
    <n v="84.229915000000005"/>
    <n v="1"/>
    <s v="Operational"/>
    <s v="Unknown"/>
    <n v="1"/>
    <n v="1"/>
    <x v="0"/>
  </r>
  <r>
    <n v="479095"/>
    <s v="Tata Power Charging Station"/>
    <s v="Unknown"/>
    <s v="Odisha"/>
    <s v="India"/>
    <n v="18.534752999999998"/>
    <n v="83.651338999999993"/>
    <n v="1"/>
    <s v="Operational"/>
    <s v="Unknown"/>
    <n v="1"/>
    <n v="1"/>
    <x v="0"/>
  </r>
  <r>
    <n v="479094"/>
    <s v="okinawa electric scooter"/>
    <s v="Unknown"/>
    <s v="Odisha"/>
    <s v="India"/>
    <n v="18.597046500000001"/>
    <n v="83.764094499999999"/>
    <n v="1"/>
    <s v="Operational"/>
    <s v="Unknown"/>
    <n v="1"/>
    <n v="1"/>
    <x v="0"/>
  </r>
  <r>
    <n v="479093"/>
    <s v="Electric Vehicle Charging Station"/>
    <s v="Unknown"/>
    <s v="Odisha"/>
    <s v="India"/>
    <n v="18.610439400000001"/>
    <n v="83.399228500000007"/>
    <n v="1"/>
    <s v="Operational"/>
    <s v="Unknown"/>
    <n v="1"/>
    <n v="1"/>
    <x v="0"/>
  </r>
  <r>
    <n v="479092"/>
    <s v="Tata Power Charging Station"/>
    <s v="Unknown"/>
    <s v="Odisha"/>
    <s v="India"/>
    <n v="18.503509300000001"/>
    <n v="83.246970500000003"/>
    <n v="1"/>
    <s v="Operational"/>
    <s v="Unknown"/>
    <n v="1"/>
    <n v="1"/>
    <x v="0"/>
  </r>
  <r>
    <n v="479091"/>
    <s v="Jio-bp"/>
    <s v="Unknown"/>
    <s v="Odisha"/>
    <s v="India"/>
    <n v="18.701207799999999"/>
    <n v="82.879836999999995"/>
    <n v="1"/>
    <s v="Operational"/>
    <s v="Unknown"/>
    <n v="1"/>
    <n v="1"/>
    <x v="0"/>
  </r>
  <r>
    <n v="479090"/>
    <s v="Ather Grid Charging Station"/>
    <s v="Unknown"/>
    <s v="Odisha"/>
    <s v="India"/>
    <n v="18.295933000000002"/>
    <n v="83.893147999999997"/>
    <n v="1"/>
    <s v="Operational"/>
    <s v="Unknown"/>
    <n v="1"/>
    <n v="1"/>
    <x v="0"/>
  </r>
  <r>
    <n v="479089"/>
    <s v="Jio-bp pulse Charging Station"/>
    <s v="Unknown"/>
    <s v="Odisha"/>
    <s v="India"/>
    <n v="18.326279100000001"/>
    <n v="83.941267999999994"/>
    <n v="1"/>
    <s v="Operational"/>
    <s v="Unknown"/>
    <n v="1"/>
    <n v="1"/>
    <x v="0"/>
  </r>
  <r>
    <n v="479088"/>
    <s v="Tata Power Charging Station"/>
    <s v="Unknown"/>
    <s v="Odisha"/>
    <s v="India"/>
    <n v="18.324358799999999"/>
    <n v="83.939110200000002"/>
    <n v="1"/>
    <s v="Operational"/>
    <s v="Unknown"/>
    <n v="1"/>
    <n v="1"/>
    <x v="0"/>
  </r>
  <r>
    <n v="479086"/>
    <s v="DK MOTORS"/>
    <s v="Unknown"/>
    <s v="Odisha"/>
    <s v="India"/>
    <n v="18.322673600000002"/>
    <n v="83.893721999999997"/>
    <n v="1"/>
    <s v="Operational"/>
    <s v="Unknown"/>
    <n v="1"/>
    <n v="1"/>
    <x v="0"/>
  </r>
  <r>
    <n v="479085"/>
    <s v="Urzza Charging Station"/>
    <s v="Unknown"/>
    <s v="Odisha"/>
    <s v="India"/>
    <n v="18.424328500000001"/>
    <n v="84.048024600000005"/>
    <n v="1"/>
    <s v="Operational"/>
    <s v="Unknown"/>
    <n v="1"/>
    <n v="1"/>
    <x v="0"/>
  </r>
  <r>
    <n v="479084"/>
    <s v="Ather Energy Charging Station"/>
    <s v="Unknown"/>
    <s v="Odisha"/>
    <s v="India"/>
    <n v="18.309546000000001"/>
    <n v="83.918819999999997"/>
    <n v="1"/>
    <s v="Operational"/>
    <s v="Unknown"/>
    <n v="1"/>
    <n v="1"/>
    <x v="0"/>
  </r>
  <r>
    <n v="479083"/>
    <s v="Voltran Charging Station"/>
    <s v="Unknown"/>
    <s v="Odisha"/>
    <s v="India"/>
    <n v="18.300440800000001"/>
    <n v="83.871162799999993"/>
    <n v="1"/>
    <s v="Operational"/>
    <s v="Unknown"/>
    <n v="1"/>
    <n v="1"/>
    <x v="0"/>
  </r>
  <r>
    <n v="479082"/>
    <s v="Jio-bp"/>
    <s v="Unknown"/>
    <s v="Odisha"/>
    <s v="India"/>
    <n v="18.289377999999999"/>
    <n v="83.914593999999994"/>
    <n v="1"/>
    <s v="Operational"/>
    <s v="Unknown"/>
    <n v="1"/>
    <n v="1"/>
    <x v="0"/>
  </r>
  <r>
    <n v="479081"/>
    <s v="Ather Grid Charging Station"/>
    <s v="Unknown"/>
    <s v="Odisha"/>
    <s v="India"/>
    <n v="18.279175599999999"/>
    <n v="83.526138599999996"/>
    <n v="1"/>
    <s v="Operational"/>
    <s v="Unknown"/>
    <n v="1"/>
    <n v="1"/>
    <x v="0"/>
  </r>
  <r>
    <n v="479080"/>
    <s v="AtherGrid Charging Station"/>
    <s v="Unknown"/>
    <s v="Odisha"/>
    <s v="India"/>
    <n v="18.337203800000001"/>
    <n v="82.877925500000003"/>
    <n v="1"/>
    <s v="Operational"/>
    <s v="Unknown"/>
    <n v="1"/>
    <n v="1"/>
    <x v="0"/>
  </r>
  <r>
    <n v="479079"/>
    <s v="Ather Grid Charging Station"/>
    <s v="Unknown"/>
    <s v="Odisha"/>
    <s v="India"/>
    <n v="18.3225938"/>
    <n v="82.877651799999995"/>
    <n v="1"/>
    <s v="Operational"/>
    <s v="Unknown"/>
    <n v="1"/>
    <n v="1"/>
    <x v="0"/>
  </r>
  <r>
    <n v="479078"/>
    <s v="Charzer Charging Station"/>
    <s v="Unknown"/>
    <s v="Odisha"/>
    <s v="India"/>
    <n v="18.295865200000001"/>
    <n v="82.914474799999994"/>
    <n v="1"/>
    <s v="Operational"/>
    <s v="Unknown"/>
    <n v="1"/>
    <n v="1"/>
    <x v="0"/>
  </r>
  <r>
    <n v="479077"/>
    <s v="Electric Vehicle Charging Station"/>
    <s v="Unknown"/>
    <s v="Odisha"/>
    <s v="India"/>
    <n v="18.313714099999999"/>
    <n v="82.893742399999994"/>
    <n v="1"/>
    <s v="Operational"/>
    <s v="Unknown"/>
    <n v="1"/>
    <n v="1"/>
    <x v="0"/>
  </r>
  <r>
    <n v="479076"/>
    <s v="Tata Power Charging Station"/>
    <s v="Unknown"/>
    <s v="Odisha"/>
    <s v="India"/>
    <n v="18.139519"/>
    <n v="83.617594999999994"/>
    <n v="1"/>
    <s v="Operational"/>
    <s v="Unknown"/>
    <n v="1"/>
    <n v="1"/>
    <x v="0"/>
  </r>
  <r>
    <n v="479075"/>
    <s v="Jio-bp pulse Charging Station"/>
    <s v="Unknown"/>
    <s v="Odisha"/>
    <s v="India"/>
    <n v="18.1499177"/>
    <n v="83.635310599999997"/>
    <n v="1"/>
    <s v="Operational"/>
    <s v="Unknown"/>
    <n v="1"/>
    <n v="1"/>
    <x v="0"/>
  </r>
  <r>
    <n v="479074"/>
    <s v="Tata Power Charging Station"/>
    <s v="Unknown"/>
    <s v="Odisha"/>
    <s v="India"/>
    <n v="18.173031999999999"/>
    <n v="83.676948999999993"/>
    <n v="1"/>
    <s v="Operational"/>
    <s v="Unknown"/>
    <n v="1"/>
    <n v="1"/>
    <x v="0"/>
  </r>
  <r>
    <n v="479073"/>
    <s v="JoulePoint Charging Station"/>
    <s v="Unknown"/>
    <s v="Odisha"/>
    <s v="India"/>
    <n v="18.0418515"/>
    <n v="83.509722100000005"/>
    <n v="1"/>
    <s v="Operational"/>
    <s v="Unknown"/>
    <n v="1"/>
    <n v="1"/>
    <x v="0"/>
  </r>
  <r>
    <n v="479072"/>
    <s v="Bolt.Earth Charging Station"/>
    <s v="Unknown"/>
    <s v="Odisha"/>
    <s v="India"/>
    <n v="18.020385699999999"/>
    <n v="83.4020948"/>
    <n v="1"/>
    <s v="Operational"/>
    <s v="Unknown"/>
    <n v="1"/>
    <n v="1"/>
    <x v="0"/>
  </r>
  <r>
    <n v="479071"/>
    <s v="Ather Grid Charging Station"/>
    <s v="Unknown"/>
    <s v="Odisha"/>
    <s v="India"/>
    <n v="18.056500700000001"/>
    <n v="83.397112800000002"/>
    <n v="1"/>
    <s v="Operational"/>
    <s v="Unknown"/>
    <n v="1"/>
    <n v="1"/>
    <x v="0"/>
  </r>
  <r>
    <n v="479070"/>
    <s v="Electric Vehicle Charging Station"/>
    <s v="Unknown"/>
    <s v="Odisha"/>
    <s v="India"/>
    <n v="18.057097200000001"/>
    <n v="83.397188099999994"/>
    <n v="1"/>
    <s v="Operational"/>
    <s v="Unknown"/>
    <n v="1"/>
    <n v="1"/>
    <x v="0"/>
  </r>
  <r>
    <n v="479069"/>
    <s v="ParkNConnect Charging Station"/>
    <s v="Unknown"/>
    <s v="Odisha"/>
    <s v="India"/>
    <n v="18.092801600000001"/>
    <n v="83.388404699999995"/>
    <n v="1"/>
    <s v="Operational"/>
    <s v="Unknown"/>
    <n v="1"/>
    <n v="1"/>
    <x v="0"/>
  </r>
  <r>
    <n v="479068"/>
    <s v="Ather Grid Charging Station"/>
    <s v="Unknown"/>
    <s v="Odisha"/>
    <s v="India"/>
    <n v="18.080786"/>
    <n v="83.385279999999995"/>
    <n v="1"/>
    <s v="Operational"/>
    <s v="Unknown"/>
    <n v="1"/>
    <n v="1"/>
    <x v="0"/>
  </r>
  <r>
    <n v="479067"/>
    <s v="Hindustan Petroleum Corporation Limited Charging Station"/>
    <s v="Unknown"/>
    <s v="Odisha"/>
    <s v="India"/>
    <n v="17.9524227"/>
    <n v="83.416358099999997"/>
    <n v="1"/>
    <s v="Operational"/>
    <s v="Unknown"/>
    <n v="1"/>
    <n v="1"/>
    <x v="0"/>
  </r>
  <r>
    <n v="479066"/>
    <s v="Ather Grid Charging Station"/>
    <s v="Unknown"/>
    <s v="Odisha"/>
    <s v="India"/>
    <n v="18.080143799999998"/>
    <n v="83.385350900000006"/>
    <n v="1"/>
    <s v="Operational"/>
    <s v="Unknown"/>
    <n v="1"/>
    <n v="1"/>
    <x v="0"/>
  </r>
  <r>
    <n v="479065"/>
    <s v="Hindustan Petroleum Corporation Limited"/>
    <s v="Unknown"/>
    <s v="Odisha"/>
    <s v="India"/>
    <n v="17.952421000000001"/>
    <n v="83.416310999999993"/>
    <n v="1"/>
    <s v="Operational"/>
    <s v="Unknown"/>
    <n v="1"/>
    <n v="1"/>
    <x v="0"/>
  </r>
  <r>
    <n v="479064"/>
    <s v="Tata Power Charging Station"/>
    <s v="Unknown"/>
    <s v="Odisha"/>
    <s v="India"/>
    <n v="17.957767700000002"/>
    <n v="83.177360399999998"/>
    <n v="1"/>
    <s v="Operational"/>
    <s v="Unknown"/>
    <n v="1"/>
    <n v="1"/>
    <x v="0"/>
  </r>
  <r>
    <n v="479063"/>
    <s v="Ather Grid Charging Station"/>
    <s v="Unknown"/>
    <s v="Odisha"/>
    <s v="India"/>
    <n v="18.116682000000001"/>
    <n v="83.137720000000002"/>
    <n v="1"/>
    <s v="Operational"/>
    <s v="Unknown"/>
    <n v="1"/>
    <n v="1"/>
    <x v="0"/>
  </r>
  <r>
    <n v="479062"/>
    <s v="Jio-bp"/>
    <s v="Unknown"/>
    <s v="Odisha"/>
    <s v="India"/>
    <n v="18.289377999999999"/>
    <n v="83.914593999999994"/>
    <n v="1"/>
    <s v="Operational"/>
    <s v="Unknown"/>
    <n v="1"/>
    <n v="1"/>
    <x v="0"/>
  </r>
  <r>
    <n v="478899"/>
    <s v="Nellikkunnu Snopcap EVCS"/>
    <s v="Nellikkunnu"/>
    <s v="Kerala"/>
    <s v="India"/>
    <n v="10.5121401"/>
    <n v="76.248896209999998"/>
    <n v="1"/>
    <s v="Operational"/>
    <s v="GO EC (IN)"/>
    <n v="1"/>
    <n v="1"/>
    <x v="1"/>
  </r>
  <r>
    <n v="478896"/>
    <s v="Swathi EVCS"/>
    <s v="Kollengode"/>
    <s v="Kerala"/>
    <s v="India"/>
    <n v="10.611860180000001"/>
    <n v="76.684164789999997"/>
    <n v="1"/>
    <s v="Operational"/>
    <s v="GO EC (IN)"/>
    <n v="1"/>
    <n v="1"/>
    <x v="1"/>
  </r>
  <r>
    <n v="478884"/>
    <s v="Tamar Cafe"/>
    <s v="Kumbla"/>
    <s v="Kerala"/>
    <s v="India"/>
    <n v="12.606281839999999"/>
    <n v="74.938438239999996"/>
    <n v="1"/>
    <s v="Operational"/>
    <s v="GO EC (IN)"/>
    <n v="1"/>
    <n v="1"/>
    <x v="1"/>
  </r>
  <r>
    <n v="478862"/>
    <s v="Hydra Charging"/>
    <s v="Coimbatore"/>
    <s v="Tamil Nadu"/>
    <s v="India"/>
    <n v="11.052857749999999"/>
    <n v="76.945836839999998"/>
    <n v="1"/>
    <s v="Operational"/>
    <s v="ChargeMod (IN)"/>
    <n v="1"/>
    <n v="1"/>
    <x v="4"/>
  </r>
  <r>
    <n v="478861"/>
    <s v="Hydra Charging Station"/>
    <s v="Mettupalayam"/>
    <s v="Tamil Nadu"/>
    <s v="India"/>
    <n v="11.31864953"/>
    <n v="76.920808730000005"/>
    <n v="1"/>
    <s v="Operational"/>
    <s v="ChargeMod (IN)"/>
    <n v="1"/>
    <n v="1"/>
    <x v="4"/>
  </r>
  <r>
    <n v="478860"/>
    <s v="Cherumattathil Agencies"/>
    <s v="Udayamperoor"/>
    <s v="Kerala"/>
    <s v="India"/>
    <n v="9.9104712859999999"/>
    <n v="76.364463839999999"/>
    <n v="1"/>
    <s v="Operational"/>
    <s v="ChargeMod (IN)"/>
    <n v="1"/>
    <n v="1"/>
    <x v="1"/>
  </r>
  <r>
    <n v="478859"/>
    <s v="Keys Select Kochi"/>
    <s v="Kochi"/>
    <s v="Kerala"/>
    <s v="India"/>
    <n v="9.9331916210000006"/>
    <n v="76.300049450000003"/>
    <n v="1"/>
    <s v="Operational"/>
    <s v="ChargeMod (IN)"/>
    <n v="1"/>
    <n v="1"/>
    <x v="1"/>
  </r>
  <r>
    <n v="478857"/>
    <s v="Key Select Thiruvananthapuram"/>
    <s v="Thiruvananthapuram"/>
    <s v="Kerala"/>
    <s v="India"/>
    <n v="8.4947167140000008"/>
    <n v="76.952310179999998"/>
    <n v="1"/>
    <s v="Not Operational"/>
    <s v="ChargeMod (IN)"/>
    <n v="0"/>
    <n v="0"/>
    <x v="1"/>
  </r>
  <r>
    <n v="478856"/>
    <s v="Lemon Tree Hotel"/>
    <s v="Unknown"/>
    <s v="Kerala"/>
    <s v="India"/>
    <n v="8.4932840289999998"/>
    <n v="76.9573161"/>
    <n v="1"/>
    <s v="Not Operational"/>
    <s v="ChargeMod (IN)"/>
    <n v="0"/>
    <n v="0"/>
    <x v="1"/>
  </r>
  <r>
    <n v="475680"/>
    <s v="Amrai Resort Tata.Ev"/>
    <s v="Satara"/>
    <s v="MH"/>
    <s v="India"/>
    <n v="17.63735819"/>
    <n v="74.012178070000004"/>
    <n v="1"/>
    <s v="Operational"/>
    <s v="Chargezone (India)"/>
    <n v="1"/>
    <n v="1"/>
    <x v="10"/>
  </r>
  <r>
    <n v="474596"/>
    <s v="EQ TP Power | Vellur"/>
    <s v="Vellur"/>
    <s v="Kerala"/>
    <s v="India"/>
    <n v="12.149897989999999"/>
    <n v="75.212636639999999"/>
    <n v="1"/>
    <s v="Operational"/>
    <s v="ChargeMod (IN)"/>
    <n v="1"/>
    <n v="1"/>
    <x v="1"/>
  </r>
  <r>
    <n v="474594"/>
    <s v="Chirakkal Bank EVCS"/>
    <s v="Chirakkal"/>
    <s v="Kerala"/>
    <s v="India"/>
    <n v="11.91670442"/>
    <n v="75.358304430000004"/>
    <n v="1"/>
    <s v="Operational"/>
    <s v="ChargeMod (IN)"/>
    <n v="1"/>
    <n v="1"/>
    <x v="1"/>
  </r>
  <r>
    <n v="474592"/>
    <s v="JetEV Nest Developers | Kambalakkad"/>
    <s v="Kamabalakkad"/>
    <s v="Kerala"/>
    <s v="India"/>
    <n v="11.66781267"/>
    <n v="76.079469970000005"/>
    <n v="1"/>
    <s v="Operational"/>
    <s v="ChargeMod (IN)"/>
    <n v="1"/>
    <n v="1"/>
    <x v="1"/>
  </r>
  <r>
    <n v="474589"/>
    <s v="Ecozone EVCS | Ulliyeri"/>
    <s v="Ulliyeri"/>
    <s v="Kerala"/>
    <s v="India"/>
    <n v="11.446514860000001"/>
    <n v="75.772620219999993"/>
    <n v="1"/>
    <s v="Operational"/>
    <s v="ChargeMod (IN)"/>
    <n v="1"/>
    <n v="1"/>
    <x v="1"/>
  </r>
  <r>
    <n v="474587"/>
    <s v="Flash Charge EVCS | Thirivangoor"/>
    <s v="Thirivangoor"/>
    <s v="Unknown"/>
    <s v="India"/>
    <n v="11.382129900000001"/>
    <n v="75.736611859999996"/>
    <n v="1"/>
    <s v="Operational"/>
    <s v="ChargeMod (IN)"/>
    <n v="1"/>
    <n v="1"/>
    <x v="6"/>
  </r>
  <r>
    <n v="474584"/>
    <s v="EVM Citroen Calicut"/>
    <s v="Kozhikode"/>
    <s v="Kerala"/>
    <s v="India"/>
    <n v="11.30428543"/>
    <n v="75.759578919999996"/>
    <n v="1"/>
    <s v="Operational"/>
    <s v="ChargeMod (IN)"/>
    <n v="1"/>
    <n v="1"/>
    <x v="1"/>
  </r>
  <r>
    <n v="474575"/>
    <s v="Sam EVCV | Perinthalmanna"/>
    <s v="Parinthalmanna"/>
    <s v="Kerala"/>
    <s v="India"/>
    <n v="10.950358140000001"/>
    <n v="76.163236710000007"/>
    <n v="1"/>
    <s v="Operational"/>
    <s v="ChargeMod (IN)"/>
    <n v="1"/>
    <n v="1"/>
    <x v="1"/>
  </r>
  <r>
    <n v="474574"/>
    <s v="BP Angadi | EVOK | Tirur"/>
    <s v="Tirur"/>
    <s v="Kerala"/>
    <s v="India"/>
    <n v="10.886313619999999"/>
    <n v="75.930574329999999"/>
    <n v="1"/>
    <s v="Operational"/>
    <s v="ChargeMod (IN)"/>
    <n v="1"/>
    <n v="1"/>
    <x v="1"/>
  </r>
  <r>
    <n v="474573"/>
    <s v="EVee Buddy | Town Plug EVCS | Palakkad"/>
    <s v="Palakkad"/>
    <s v="Kerala"/>
    <s v="India"/>
    <n v="10.764893860000001"/>
    <n v="76.651994279999997"/>
    <n v="1"/>
    <s v="Operational"/>
    <s v="ChargeMod (IN)"/>
    <n v="1"/>
    <n v="1"/>
    <x v="1"/>
  </r>
  <r>
    <n v="474565"/>
    <s v="Duke Communications | Pazhuvil"/>
    <s v="Pazhuvil"/>
    <s v="Kerala"/>
    <s v="India"/>
    <n v="10.416437869999999"/>
    <n v="76.153674789999997"/>
    <n v="1"/>
    <s v="Operational"/>
    <s v="ChargeMod (IN)"/>
    <n v="1"/>
    <n v="1"/>
    <x v="1"/>
  </r>
  <r>
    <n v="474564"/>
    <s v="Amigo EV Charge Hub | Marygiri | Vadakkenchery"/>
    <s v="Vadakkenchery"/>
    <s v="Kerala"/>
    <s v="India"/>
    <n v="10.58405552"/>
    <n v="76.435817420000006"/>
    <n v="1"/>
    <s v="Operational"/>
    <s v="ChargeMod (IN)"/>
    <n v="1"/>
    <n v="1"/>
    <x v="1"/>
  </r>
  <r>
    <n v="474562"/>
    <s v="EVOK Charging Hub | Mannuthy"/>
    <s v="Mannuthi"/>
    <s v="Kerala"/>
    <s v="India"/>
    <n v="10.539559649999999"/>
    <n v="76.253916840000002"/>
    <n v="1"/>
    <s v="Operational"/>
    <s v="ChargeMod (IN)"/>
    <n v="1"/>
    <n v="1"/>
    <x v="1"/>
  </r>
  <r>
    <n v="474560"/>
    <s v="Irrai EVCS | Chalakka"/>
    <s v="Chalakka"/>
    <s v="Kerala"/>
    <s v="India"/>
    <n v="10.155044699999999"/>
    <n v="76.280933919999995"/>
    <n v="1"/>
    <s v="Operational"/>
    <s v="ChargeMod (IN)"/>
    <n v="1"/>
    <n v="1"/>
    <x v="1"/>
  </r>
  <r>
    <n v="474557"/>
    <s v="Sunvolt DLF Riverside | Vyttila"/>
    <s v="Vyttila"/>
    <s v="Kerala"/>
    <s v="India"/>
    <n v="9.9592240220000008"/>
    <n v="76.314190210000007"/>
    <n v="1"/>
    <s v="Operational"/>
    <s v="ChargeMod (IN)"/>
    <n v="1"/>
    <n v="1"/>
    <x v="1"/>
  </r>
  <r>
    <n v="474556"/>
    <s v="Flash EVCS | Kundannoor"/>
    <s v="Kundannoor"/>
    <s v="Kerala"/>
    <s v="India"/>
    <n v="9.9387199810000002"/>
    <n v="76.318309159999998"/>
    <n v="1"/>
    <s v="Operational"/>
    <s v="ChargeMod (IN)"/>
    <n v="1"/>
    <n v="1"/>
    <x v="1"/>
  </r>
  <r>
    <n v="474554"/>
    <s v="EVee Buddy | Mangalath EVCS | Mangalathunada"/>
    <s v="Kolenchery"/>
    <s v="Kerala"/>
    <s v="India"/>
    <n v="10.01677286"/>
    <n v="76.50315707"/>
    <n v="1"/>
    <s v="Operational"/>
    <s v="ChargeMod (IN)"/>
    <n v="1"/>
    <n v="1"/>
    <x v="1"/>
  </r>
  <r>
    <n v="474552"/>
    <s v="EVOK Charging Station | Meenkunnam"/>
    <s v="Meenkunnam"/>
    <s v="Kerala"/>
    <s v="India"/>
    <n v="9.9356134669999996"/>
    <n v="76.575501970000005"/>
    <n v="1"/>
    <s v="Operational"/>
    <s v="ChargeMod (IN)"/>
    <n v="1"/>
    <n v="1"/>
    <x v="1"/>
  </r>
  <r>
    <n v="474548"/>
    <s v="Nest Homestay EVOK | Adimali"/>
    <s v="Adimali"/>
    <s v="Kerala"/>
    <s v="India"/>
    <n v="10.01725794"/>
    <n v="77.000660310000001"/>
    <n v="1"/>
    <s v="Operational"/>
    <s v="ChargeMod (IN)"/>
    <n v="1"/>
    <n v="1"/>
    <x v="1"/>
  </r>
  <r>
    <n v="474547"/>
    <s v="EVee Buddy | Everest Hotel | Idukki"/>
    <s v="Idukki"/>
    <s v="Kerala"/>
    <s v="India"/>
    <n v="9.8474662049999999"/>
    <n v="76.98095644"/>
    <n v="1"/>
    <s v="Operational"/>
    <s v="ChargeMod (IN)"/>
    <n v="1"/>
    <n v="1"/>
    <x v="1"/>
  </r>
  <r>
    <n v="474546"/>
    <s v="Flash Charge EVCS | Kattappana"/>
    <s v="Kattappana"/>
    <s v="Kerala"/>
    <s v="India"/>
    <n v="9.7508376499999994"/>
    <n v="77.109185760000003"/>
    <n v="1"/>
    <s v="Operational"/>
    <s v="ChargeMod (IN)"/>
    <n v="1"/>
    <n v="1"/>
    <x v="1"/>
  </r>
  <r>
    <n v="474545"/>
    <s v="Flash Charge EVCS | Vagamon"/>
    <s v="Vagamon"/>
    <s v="Kerala"/>
    <s v="India"/>
    <n v="9.6888980740000008"/>
    <n v="76.904448430000002"/>
    <n v="1"/>
    <s v="Operational"/>
    <s v="ChargeMod (IN)"/>
    <n v="1"/>
    <n v="1"/>
    <x v="1"/>
  </r>
  <r>
    <n v="474541"/>
    <s v="EQ Charis EVCS | Cheeranchira"/>
    <s v="Changanassery"/>
    <s v="Kerala"/>
    <s v="India"/>
    <n v="9.4784248840000007"/>
    <n v="76.561479860000006"/>
    <n v="1"/>
    <s v="Operational"/>
    <s v="ChargeMod (IN)"/>
    <n v="1"/>
    <n v="1"/>
    <x v="1"/>
  </r>
  <r>
    <n v="474478"/>
    <s v="Anupama EVCS | Pathiyoor"/>
    <s v="Pathiyoor"/>
    <s v="Kerala"/>
    <s v="India"/>
    <n v="9.2110191399999994"/>
    <n v="76.503142740000001"/>
    <n v="1"/>
    <s v="Operational"/>
    <s v="ChargeMod (IN)"/>
    <n v="1"/>
    <n v="1"/>
    <x v="1"/>
  </r>
  <r>
    <n v="474477"/>
    <s v="EQ Kalayil EVCS | Adoor"/>
    <s v="Adoor"/>
    <s v="Kerala"/>
    <s v="India"/>
    <n v="9.147193176"/>
    <n v="76.732401390000007"/>
    <n v="1"/>
    <s v="Operational"/>
    <s v="ChargeMod (IN)"/>
    <n v="1"/>
    <n v="1"/>
    <x v="1"/>
  </r>
  <r>
    <n v="474476"/>
    <s v="Throw In Foodcourt | Karunagappalli"/>
    <s v="Karunagappalli"/>
    <s v="Kerala"/>
    <s v="India"/>
    <n v="9.0672364620000003"/>
    <n v="76.535885350000001"/>
    <n v="1"/>
    <s v="Operational"/>
    <s v="ChargeMod (IN)"/>
    <n v="1"/>
    <n v="1"/>
    <x v="1"/>
  </r>
  <r>
    <n v="474475"/>
    <s v="Best EVCS | Karunagappalli"/>
    <s v="Karunagapally"/>
    <s v="Kerala"/>
    <s v="India"/>
    <n v="9.0461089460000004"/>
    <n v="76.536683940000003"/>
    <n v="1"/>
    <s v="Operational"/>
    <s v="ChargeMod (IN)"/>
    <n v="1"/>
    <n v="1"/>
    <x v="1"/>
  </r>
  <r>
    <n v="474472"/>
    <s v="Pontoor EVCS | Fill Nxt | Kunnicode"/>
    <s v="Kunnicode"/>
    <s v="Kerala"/>
    <s v="India"/>
    <n v="9.0264721810000008"/>
    <n v="76.851901089999998"/>
    <n v="1"/>
    <s v="Operational"/>
    <s v="ChargeMod (IN)"/>
    <n v="1"/>
    <n v="1"/>
    <x v="1"/>
  </r>
  <r>
    <n v="474465"/>
    <s v="Chandra EVCS | Pettah"/>
    <s v="Thiruvananthapuram"/>
    <s v="Kerala"/>
    <s v="India"/>
    <n v="8.4944297970000004"/>
    <n v="76.930072710000005"/>
    <n v="1"/>
    <s v="Operational"/>
    <s v="ChargeMod (IN)"/>
    <n v="1"/>
    <n v="1"/>
    <x v="1"/>
  </r>
  <r>
    <n v="474462"/>
    <s v="EQ Future Mobility Thakkaram"/>
    <s v="Thiruvananthapuram"/>
    <s v="Kerala"/>
    <s v="India"/>
    <n v="8.5785855299999998"/>
    <n v="76.866476250000005"/>
    <n v="1"/>
    <s v="Operational"/>
    <s v="ChargeMod (IN)"/>
    <n v="1"/>
    <n v="1"/>
    <x v="1"/>
  </r>
  <r>
    <n v="474366"/>
    <s v="Rest Area Mumbai - Vadodara Expressway"/>
    <s v="Saraswani"/>
    <s v="Gujarat"/>
    <s v="India"/>
    <n v="22.17015606"/>
    <n v="73.087612820000004"/>
    <n v="1"/>
    <s v="Operational"/>
    <s v="eDrive BPCL (IN)"/>
    <n v="1"/>
    <n v="1"/>
    <x v="8"/>
  </r>
  <r>
    <n v="474365"/>
    <s v="NE4 Eest Area Saraswani"/>
    <s v="Saraswani"/>
    <s v="Gujarat"/>
    <s v="India"/>
    <n v="22.180225929999999"/>
    <n v="73.089908579999999"/>
    <n v="1"/>
    <s v="Operational"/>
    <s v="eDrive BPCL (IN)"/>
    <n v="1"/>
    <n v="1"/>
    <x v="8"/>
  </r>
  <r>
    <n v="474364"/>
    <s v="Hotel Empire ChargeZone"/>
    <s v="Chikhli"/>
    <s v="Gujarat"/>
    <s v="India"/>
    <n v="20.740672960000001"/>
    <n v="73.035601200000002"/>
    <n v="1"/>
    <s v="Operational"/>
    <s v="Chargezone (India)"/>
    <n v="1"/>
    <n v="1"/>
    <x v="8"/>
  </r>
  <r>
    <n v="474363"/>
    <s v="Home"/>
    <s v="Hailakandi"/>
    <s v="Assam"/>
    <s v="India"/>
    <n v="26.697500000000002"/>
    <n v="91.851200000000006"/>
    <n v="1"/>
    <s v="Operational"/>
    <s v="Unknown"/>
    <n v="1"/>
    <n v="1"/>
    <x v="14"/>
  </r>
  <r>
    <n v="473117"/>
    <s v="Tata Power Hotel Elite"/>
    <s v="Lucknow"/>
    <s v="Uttar Pradesh"/>
    <s v="India"/>
    <n v="26.838270569999999"/>
    <n v="80.853777109999996"/>
    <n v="1"/>
    <s v="Operational"/>
    <s v="Tata Power"/>
    <n v="1"/>
    <n v="1"/>
    <x v="2"/>
  </r>
  <r>
    <n v="473032"/>
    <s v="Hotel Annapura"/>
    <s v="Piplod"/>
    <s v="Gujarat"/>
    <s v="India"/>
    <n v="22.794234490000001"/>
    <n v="73.858826260000001"/>
    <n v="1"/>
    <s v="Operational"/>
    <s v="Chargezone (India)"/>
    <n v="1"/>
    <n v="1"/>
    <x v="8"/>
  </r>
  <r>
    <n v="473031"/>
    <s v="Shree Kanha International Chargezone"/>
    <s v="Ratlam"/>
    <s v="Madhya Pradesh"/>
    <s v="India"/>
    <n v="23.386513319999999"/>
    <n v="75.059851280000004"/>
    <n v="1"/>
    <s v="Operational"/>
    <s v="Chargezone (India)"/>
    <n v="1"/>
    <n v="1"/>
    <x v="12"/>
  </r>
  <r>
    <n v="472820"/>
    <s v="KR RESORT"/>
    <s v="Ganganagar"/>
    <s v="Rajasthan"/>
    <s v="India"/>
    <n v="29.886787590000001"/>
    <n v="73.928230389999996"/>
    <n v="1"/>
    <s v="Operational"/>
    <s v="Unknown"/>
    <n v="1"/>
    <n v="1"/>
    <x v="5"/>
  </r>
  <r>
    <n v="472808"/>
    <s v="Statiq Jaypee Agra"/>
    <s v="Agra"/>
    <s v="Uttar Pradesh"/>
    <s v="India"/>
    <n v="27.153405339999999"/>
    <n v="78.070735929999998"/>
    <n v="1"/>
    <s v="Operational"/>
    <s v="Statiq (IN)"/>
    <n v="1"/>
    <n v="1"/>
    <x v="2"/>
  </r>
  <r>
    <n v="472798"/>
    <s v="KR RESORT"/>
    <s v="Ganganagar"/>
    <s v="Rajasthan"/>
    <s v="India"/>
    <n v="29.886991559999998"/>
    <n v="73.924737930000006"/>
    <n v="1"/>
    <s v="Operational"/>
    <s v="Unknown"/>
    <n v="1"/>
    <n v="1"/>
    <x v="5"/>
  </r>
  <r>
    <n v="472532"/>
    <s v="ev"/>
    <s v="COIMBATORE"/>
    <s v="TAMILNADU"/>
    <s v="India"/>
    <n v="11.04640756"/>
    <n v="77.079561279999993"/>
    <n v="1"/>
    <s v="Operational"/>
    <s v="Unknown"/>
    <n v="1"/>
    <n v="1"/>
    <x v="4"/>
  </r>
  <r>
    <n v="472508"/>
    <s v="Charging station"/>
    <s v="Unknown"/>
    <s v="Karnataka"/>
    <s v="India"/>
    <n v="12.96085047"/>
    <n v="77.581824740000002"/>
    <n v="1"/>
    <s v="Operational"/>
    <s v="Unknown"/>
    <n v="1"/>
    <n v="1"/>
    <x v="11"/>
  </r>
  <r>
    <n v="472439"/>
    <s v="Midway Treat Khushi Inn Sakadehi Betul Hotel"/>
    <s v="Unknown"/>
    <s v="Madhya Pradesh"/>
    <s v="India"/>
    <n v="21.997785950000001"/>
    <n v="77.865381830000004"/>
    <n v="1"/>
    <s v="Operational"/>
    <s v="Tryk (IN)"/>
    <n v="1"/>
    <n v="1"/>
    <x v="12"/>
  </r>
  <r>
    <n v="472327"/>
    <s v="Rest Area Jio BP  RHS"/>
    <s v="Bonli"/>
    <s v="Rajasthan"/>
    <s v="India"/>
    <n v="26.378544179999999"/>
    <n v="76.253276310000004"/>
    <n v="1"/>
    <s v="Operational"/>
    <s v="JIO BP Pulse (India)"/>
    <n v="1"/>
    <n v="1"/>
    <x v="5"/>
  </r>
  <r>
    <n v="472326"/>
    <s v="Lakshya Water Park"/>
    <s v="Kota District"/>
    <s v="Rajasthan"/>
    <s v="India"/>
    <n v="25.162225670000002"/>
    <n v="76.166360080000004"/>
    <n v="1"/>
    <s v="Operational"/>
    <s v="Xobolt (IN)"/>
    <n v="1"/>
    <n v="1"/>
    <x v="5"/>
  </r>
  <r>
    <n v="471993"/>
    <s v=" Chargezone Hotel Rangoli"/>
    <s v="Navsari"/>
    <s v="GJ"/>
    <s v="India"/>
    <n v="21.038975780000001"/>
    <n v="72.975265410000006"/>
    <n v="1"/>
    <s v="Operational"/>
    <s v="Chargezone (India)"/>
    <n v="1"/>
    <n v="1"/>
    <x v="8"/>
  </r>
  <r>
    <n v="471992"/>
    <s v="DME Bonli Jio BP LHS"/>
    <s v="Bonli"/>
    <s v="RJ"/>
    <s v="India"/>
    <n v="26.377358019999999"/>
    <n v="76.253756670000001"/>
    <n v="1"/>
    <s v="Operational"/>
    <s v="JIO BP Pulse (India)"/>
    <n v="1"/>
    <n v="1"/>
    <x v="5"/>
  </r>
  <r>
    <n v="471991"/>
    <s v="DME Garoth Rest Area RHS"/>
    <s v="Garoth"/>
    <s v="MP"/>
    <s v="India"/>
    <n v="24.34526163"/>
    <n v="75.678323300000002"/>
    <n v="1"/>
    <s v="Operational"/>
    <s v="Volttic (IN)"/>
    <n v="1"/>
    <n v="1"/>
    <x v="12"/>
  </r>
  <r>
    <n v="471989"/>
    <s v="Volttic Delhi Mumbai Expressway LHS Garoth"/>
    <s v="Garoth"/>
    <s v="MP"/>
    <s v="India"/>
    <n v="24.346875610000001"/>
    <n v="75.681559660000005"/>
    <n v="1"/>
    <s v="Operational"/>
    <s v="Volttic (IN)"/>
    <n v="1"/>
    <n v="1"/>
    <x v="12"/>
  </r>
  <r>
    <n v="470897"/>
    <s v="RK Mess &amp; Restaurant"/>
    <s v="Manmangalam"/>
    <s v="Tamil Nadu"/>
    <s v="India"/>
    <n v="11.044938999999999"/>
    <n v="78.055860999999993"/>
    <n v="1"/>
    <s v="Operational"/>
    <s v="Statiq (IN)"/>
    <n v="1"/>
    <n v="1"/>
    <x v="4"/>
  </r>
  <r>
    <n v="470710"/>
    <s v="VSB Auto Care"/>
    <s v="Karur"/>
    <s v="Tamil Nadu"/>
    <s v="India"/>
    <n v="10.9642143"/>
    <n v="78.046555609999999"/>
    <n v="1"/>
    <s v="Operational"/>
    <s v="Relux Electric (India)"/>
    <n v="1"/>
    <n v="1"/>
    <x v="4"/>
  </r>
  <r>
    <n v="470709"/>
    <s v="AKR Textiles"/>
    <s v="Karur"/>
    <s v="Tamil Nadu"/>
    <s v="India"/>
    <n v="10.96396171"/>
    <n v="78.048042050000006"/>
    <n v="1"/>
    <s v="Operational"/>
    <s v="Zeon Charging"/>
    <n v="1"/>
    <n v="1"/>
    <x v="4"/>
  </r>
  <r>
    <n v="469517"/>
    <s v="EESL - Devinder Collections"/>
    <s v="New Delhi``"/>
    <s v="New Dehi"/>
    <s v="India"/>
    <n v="28.63324209"/>
    <n v="77.224946209999999"/>
    <n v="1"/>
    <s v="Operational"/>
    <s v="EESL (IN)"/>
    <n v="1"/>
    <n v="1"/>
    <x v="15"/>
  </r>
  <r>
    <n v="469488"/>
    <s v="Regenta Fairlark Jio"/>
    <s v="Vadodara"/>
    <s v="GJ"/>
    <s v="India"/>
    <n v="22.288523229999999"/>
    <n v="73.132098560000003"/>
    <n v="1"/>
    <s v="Operational"/>
    <s v="JIO BP Pulse (India)"/>
    <n v="1"/>
    <n v="1"/>
    <x v="8"/>
  </r>
  <r>
    <n v="469384"/>
    <s v="Shree Bihariji Filling Station"/>
    <s v="Haldwani"/>
    <s v="Uttarakhand"/>
    <s v="India"/>
    <n v="29.176436519999999"/>
    <n v="79.496409459999995"/>
    <n v="1"/>
    <s v="Operational"/>
    <s v="Unknown"/>
    <n v="1"/>
    <n v="1"/>
    <x v="13"/>
  </r>
  <r>
    <n v="469383"/>
    <s v="BPCL Royal Fuel Station"/>
    <s v="Haldwani"/>
    <s v="Uttarakhand"/>
    <s v="India"/>
    <n v="29.224177449999999"/>
    <n v="79.501043370000005"/>
    <n v="1"/>
    <s v="Temporarily Unavailable"/>
    <s v="Unknown"/>
    <n v="0"/>
    <n v="0"/>
    <x v="13"/>
  </r>
  <r>
    <n v="469382"/>
    <s v="Fortune Walkway Mall"/>
    <s v="Haldwani"/>
    <s v="Uttarakhand"/>
    <s v="India"/>
    <n v="29.245389719999999"/>
    <n v="79.535971709999998"/>
    <n v="1"/>
    <s v="Operational"/>
    <s v="Chargezone (India)"/>
    <n v="1"/>
    <n v="1"/>
    <x v="13"/>
  </r>
  <r>
    <n v="469381"/>
    <s v="Bikanerwala Sweets Haldwani (Aargo)"/>
    <s v="Haldwani"/>
    <s v="Uttarakhand"/>
    <s v="India"/>
    <n v="29.21491941"/>
    <n v="79.527984660000001"/>
    <n v="1"/>
    <s v="Operational"/>
    <s v="Unknown"/>
    <n v="1"/>
    <n v="1"/>
    <x v="13"/>
  </r>
  <r>
    <n v="469380"/>
    <s v="Bharat Petroleum - Janta Petrol Pump"/>
    <s v="Haldwani"/>
    <s v="Uttarakhand"/>
    <s v="India"/>
    <n v="29.186542060000001"/>
    <n v="79.520842630000004"/>
    <n v="1"/>
    <s v="Temporarily Unavailable"/>
    <s v="Unknown"/>
    <n v="0"/>
    <n v="0"/>
    <x v="13"/>
  </r>
  <r>
    <n v="469356"/>
    <s v="Ecoplug Radisson Blu Hotel"/>
    <s v="Rudrapur"/>
    <s v="Uttarakhand"/>
    <s v="India"/>
    <n v="29.000382129999998"/>
    <n v="79.399877380000007"/>
    <n v="1"/>
    <s v="Operational"/>
    <s v="Ecoplug"/>
    <n v="1"/>
    <n v="1"/>
    <x v="13"/>
  </r>
  <r>
    <n v="469355"/>
    <s v="BP-RUDRAPUR"/>
    <s v="Rudrapur"/>
    <s v="Uttarakhand"/>
    <s v="India"/>
    <n v="28.994841569999998"/>
    <n v="79.400686250000007"/>
    <n v="1"/>
    <s v="Operational"/>
    <s v="Statiq (IN)"/>
    <n v="1"/>
    <n v="1"/>
    <x v="13"/>
  </r>
  <r>
    <n v="469354"/>
    <s v="PREM SINGH &amp; SONS (BPCL Charging Station)"/>
    <s v="Rudrapur"/>
    <s v="Uttarakhnad"/>
    <s v="India"/>
    <n v="28.97859682"/>
    <n v="79.400453170000006"/>
    <n v="1"/>
    <s v="Operational"/>
    <s v="Statiq (IN)"/>
    <n v="1"/>
    <n v="1"/>
    <x v="13"/>
  </r>
  <r>
    <n v="469353"/>
    <s v=" Rudra Continental"/>
    <s v="Rudrapur"/>
    <s v="Uttarakhand"/>
    <s v="India"/>
    <n v="28.975848540000001"/>
    <n v="79.389542309999996"/>
    <n v="1"/>
    <s v="Operational"/>
    <s v="Chargezone (India)"/>
    <n v="1"/>
    <n v="1"/>
    <x v="13"/>
  </r>
  <r>
    <n v="464561"/>
    <s v="Sagar Tranport Company"/>
    <s v="Kichha"/>
    <s v="Uttarakhand"/>
    <s v="India"/>
    <n v="28.931216490000001"/>
    <n v="79.51703689"/>
    <n v="1"/>
    <s v="Temporarily Unavailable"/>
    <s v="Unknown"/>
    <n v="0"/>
    <n v="0"/>
    <x v="13"/>
  </r>
  <r>
    <n v="464560"/>
    <s v="Yash Filling Station"/>
    <s v="Kichha"/>
    <s v="Uttarakhand"/>
    <s v="India"/>
    <n v="28.870833640000001"/>
    <n v="79.516480049999998"/>
    <n v="1"/>
    <s v="Temporarily Unavailable"/>
    <s v="Unknown"/>
    <n v="0"/>
    <n v="0"/>
    <x v="13"/>
  </r>
  <r>
    <n v="464559"/>
    <s v="2012531-PRAKASH PETROLEUM"/>
    <s v="Kichha"/>
    <s v="Uttarakhand"/>
    <s v="India"/>
    <n v="28.892693950000002"/>
    <n v="79.509563700000001"/>
    <n v="1"/>
    <s v="Temporarily Unavailable"/>
    <s v="Unknown"/>
    <n v="0"/>
    <n v="0"/>
    <x v="13"/>
  </r>
  <r>
    <n v="462394"/>
    <s v="Hotel Bundela"/>
    <s v="Khajuraho"/>
    <s v="MP"/>
    <s v="India"/>
    <n v="24.841218000000001"/>
    <n v="79.920955300000003"/>
    <n v="1"/>
    <s v="Operational"/>
    <s v="Adani Gas-EV (TR)"/>
    <n v="1"/>
    <n v="1"/>
    <x v="12"/>
  </r>
  <r>
    <n v="462380"/>
    <s v="Cube Stop NH-44"/>
    <s v="Mohgaon"/>
    <s v="MP"/>
    <s v="India"/>
    <n v="21.9142364"/>
    <n v="79.526366589999995"/>
    <n v="1"/>
    <s v="Operational"/>
    <s v="Statiq (IN)"/>
    <n v="1"/>
    <n v="1"/>
    <x v="12"/>
  </r>
  <r>
    <n v="461277"/>
    <s v="Shashtri Nagar "/>
    <s v="Pune"/>
    <s v="Maharashtra"/>
    <s v="India"/>
    <n v="18.503925779999999"/>
    <n v="73.803734329999997"/>
    <n v="1"/>
    <s v="Partly Operational (Mixed)"/>
    <s v="Unknown"/>
    <n v="0"/>
    <n v="0"/>
    <x v="10"/>
  </r>
  <r>
    <n v="461160"/>
    <s v="Tata Power - Electric Vehicle Charging Station"/>
    <s v="Haldwani"/>
    <s v="Uttarakhand"/>
    <s v="India"/>
    <n v="29.163754999999998"/>
    <n v="79.522705999999999"/>
    <n v="1"/>
    <s v="Operational"/>
    <s v="Tata Power"/>
    <n v="1"/>
    <n v="1"/>
    <x v="13"/>
  </r>
  <r>
    <n v="461021"/>
    <s v="FC - TataPower - TMSC Chandrani Enterprises"/>
    <s v="Asansol"/>
    <s v="West Bengal"/>
    <s v="India"/>
    <n v="23.66383145"/>
    <n v="87.057828110000003"/>
    <n v="1"/>
    <s v="Operational"/>
    <s v="Tata Power"/>
    <n v="1"/>
    <n v="1"/>
    <x v="16"/>
  </r>
  <r>
    <n v="461004"/>
    <s v="FC - TataPower - Hotel Sumandeep"/>
    <s v="Dhanbad"/>
    <s v="Jharkhand"/>
    <s v="India"/>
    <n v="23.765173279999999"/>
    <n v="86.805740189999995"/>
    <n v="1"/>
    <s v="Operational"/>
    <s v="Tata Power"/>
    <n v="1"/>
    <n v="1"/>
    <x v="17"/>
  </r>
  <r>
    <n v="460962"/>
    <s v="D N R Fuel Point"/>
    <s v="Unknown"/>
    <s v="Maharashtra"/>
    <s v="India"/>
    <n v="20.634269499999998"/>
    <n v="78.927315519999993"/>
    <n v="1"/>
    <s v="Operational"/>
    <s v="eDrive BPCL (IN)"/>
    <n v="1"/>
    <n v="1"/>
    <x v="10"/>
  </r>
  <r>
    <n v="460960"/>
    <s v="Green Garden Family Restaurant"/>
    <s v="Dumri"/>
    <s v="Jharkhand"/>
    <s v="India"/>
    <n v="24.012189830000001"/>
    <n v="86.033785660000007"/>
    <n v="1"/>
    <s v="Operational"/>
    <s v="Tata Power"/>
    <n v="1"/>
    <n v="1"/>
    <x v="17"/>
  </r>
  <r>
    <n v="460636"/>
    <s v="Hotel Kantara Dine"/>
    <s v="Solur"/>
    <s v="Karnataka"/>
    <s v="India"/>
    <n v="13.064573770000001"/>
    <n v="77.257125160000001"/>
    <n v="1"/>
    <s v="Operational"/>
    <s v="Tata Power"/>
    <n v="1"/>
    <n v="1"/>
    <x v="11"/>
  </r>
  <r>
    <n v="460478"/>
    <s v="Burger King"/>
    <s v="Udayapura"/>
    <s v="Karnataka"/>
    <s v="India"/>
    <n v="12.960134460000001"/>
    <n v="76.330239059999997"/>
    <n v="1"/>
    <s v="Operational"/>
    <s v="Zeon Charging"/>
    <n v="1"/>
    <n v="1"/>
    <x v="11"/>
  </r>
  <r>
    <n v="460205"/>
    <s v="Konnagar"/>
    <s v="Kolkata"/>
    <s v="West Bengal"/>
    <s v="India"/>
    <n v="21.65144351"/>
    <n v="87.651399549999994"/>
    <n v="1"/>
    <s v="Operational"/>
    <s v="Unknown"/>
    <n v="1"/>
    <n v="1"/>
    <x v="16"/>
  </r>
  <r>
    <n v="458917"/>
    <s v="TML Sree Gokulam Motors - Tata Power"/>
    <s v="Edappally"/>
    <s v="Kerala"/>
    <s v="India"/>
    <n v="10.03915497"/>
    <n v="76.315558809999999"/>
    <n v="1"/>
    <s v="Operational"/>
    <s v="Tata Power"/>
    <n v="1"/>
    <n v="1"/>
    <x v="1"/>
  </r>
  <r>
    <n v="458916"/>
    <s v="Tata.ev Gokulam Motors - Tata Power"/>
    <s v="Choornikkara"/>
    <s v="Kerala"/>
    <s v="India"/>
    <n v="10.081302790000001"/>
    <n v="76.339461990000004"/>
    <n v="1"/>
    <s v="Operational"/>
    <s v="Tata Power"/>
    <n v="1"/>
    <n v="1"/>
    <x v="1"/>
  </r>
  <r>
    <n v="458915"/>
    <s v="Taj Cochin Internation Airport Hotel - Tata Power"/>
    <s v="Nedumbassery"/>
    <s v="Kerala"/>
    <s v="India"/>
    <n v="10.15999504"/>
    <n v="76.390154219999999"/>
    <n v="1"/>
    <s v="Operational"/>
    <s v="Tata Power"/>
    <n v="1"/>
    <n v="1"/>
    <x v="1"/>
  </r>
  <r>
    <n v="458914"/>
    <s v="SAJ Earth Resort - Tata Power"/>
    <s v="Nedumbassery"/>
    <s v="Kerala"/>
    <s v="India"/>
    <n v="10.16222425"/>
    <n v="76.384653499999999"/>
    <n v="1"/>
    <s v="Operational"/>
    <s v="Tata Power"/>
    <n v="1"/>
    <n v="1"/>
    <x v="1"/>
  </r>
  <r>
    <n v="458913"/>
    <s v="Luxon Motors - Tata Power"/>
    <s v="Kariyad"/>
    <s v="Kerala"/>
    <s v="India"/>
    <n v="10.16204205"/>
    <n v="76.367356029999996"/>
    <n v="1"/>
    <s v="Operational"/>
    <s v="Tata Power"/>
    <n v="1"/>
    <n v="1"/>
    <x v="1"/>
  </r>
  <r>
    <n v="458912"/>
    <s v="Sree Gokulam Motors - Tata Power"/>
    <s v="Angamaly"/>
    <s v="Kerala"/>
    <s v="India"/>
    <n v="10.221060359999999"/>
    <n v="76.37675213"/>
    <n v="1"/>
    <s v="Operational"/>
    <s v="Tata Power"/>
    <n v="1"/>
    <n v="1"/>
    <x v="1"/>
  </r>
  <r>
    <n v="458911"/>
    <s v="Centro Mall Charging Station - Tata Power"/>
    <s v="Kodungallur"/>
    <s v="Kerala"/>
    <s v="India"/>
    <n v="10.23248948"/>
    <n v="76.195940219999997"/>
    <n v="1"/>
    <s v="Operational"/>
    <s v="Tata Power"/>
    <n v="1"/>
    <n v="1"/>
    <x v="1"/>
  </r>
  <r>
    <n v="458909"/>
    <s v="KVR Automotive - Tata Power"/>
    <s v="Koppam"/>
    <s v="Kerala"/>
    <s v="India"/>
    <n v="10.782258199999999"/>
    <n v="76.658245109999996"/>
    <n v="1"/>
    <s v="Operational"/>
    <s v="Tata Power"/>
    <n v="1"/>
    <n v="1"/>
    <x v="1"/>
  </r>
  <r>
    <n v="458908"/>
    <s v="Gokulam Residency - Tata Power"/>
    <s v="Amballur"/>
    <s v="Kerala"/>
    <s v="India"/>
    <n v="10.4361871"/>
    <n v="76.265205829999999"/>
    <n v="1"/>
    <s v="Operational"/>
    <s v="Tata Power"/>
    <n v="1"/>
    <n v="1"/>
    <x v="1"/>
  </r>
  <r>
    <n v="458906"/>
    <s v="PCK Centenary"/>
    <s v="Thrissur"/>
    <s v="Kerala"/>
    <s v="India"/>
    <n v="10.522940419999999"/>
    <n v="76.206247669999996"/>
    <n v="1"/>
    <s v="Operational"/>
    <s v="Tata Power"/>
    <n v="1"/>
    <n v="1"/>
    <x v="1"/>
  </r>
  <r>
    <n v="314018"/>
    <s v="Shirdi"/>
    <s v="Shirdi"/>
    <s v="Maharashtra"/>
    <s v="India"/>
    <n v="19.75759399"/>
    <n v="74.476347329999996"/>
    <n v="1"/>
    <s v="Operational"/>
    <s v="Unknown"/>
    <n v="1"/>
    <n v="1"/>
    <x v="10"/>
  </r>
  <r>
    <n v="313995"/>
    <s v="InFour Wheel Care And Tyres - Tata Power"/>
    <s v="Perinthalmanna"/>
    <s v="Kerala"/>
    <s v="India"/>
    <n v="10.96023797"/>
    <n v="76.234678810000005"/>
    <n v="1"/>
    <s v="Operational"/>
    <s v="Tata Power"/>
    <n v="1"/>
    <n v="1"/>
    <x v="1"/>
  </r>
  <r>
    <n v="313994"/>
    <s v="TML KVR Automotive - Tata Power"/>
    <s v="Perinthalmanna"/>
    <s v="Kerala"/>
    <s v="India"/>
    <n v="10.98450272"/>
    <n v="76.187847009999999"/>
    <n v="1"/>
    <s v="Operational"/>
    <s v="Tata Power"/>
    <n v="1"/>
    <n v="1"/>
    <x v="1"/>
  </r>
  <r>
    <n v="313993"/>
    <s v="IOCL Sigma Enterprises Charging Station - Tata Power"/>
    <s v="Valanchery"/>
    <s v="Kerala"/>
    <s v="India"/>
    <n v="10.89791419"/>
    <n v="76.061009670000004"/>
    <n v="1"/>
    <s v="Operational"/>
    <s v="Tata Power"/>
    <n v="1"/>
    <n v="1"/>
    <x v="1"/>
  </r>
  <r>
    <n v="313992"/>
    <s v="AAK Mall"/>
    <s v="Tirur"/>
    <s v="Kerala"/>
    <s v="India"/>
    <n v="10.918580609999999"/>
    <n v="75.917798329999997"/>
    <n v="1"/>
    <s v="Operational"/>
    <s v="Tata Power"/>
    <n v="1"/>
    <n v="1"/>
    <x v="1"/>
  </r>
  <r>
    <n v="313990"/>
    <s v="A M Tyres Malappuram - Tata Power"/>
    <s v="Malappuram"/>
    <s v="Kerala"/>
    <s v="India"/>
    <n v="11.060402529999999"/>
    <n v="76.080844159999998"/>
    <n v="1"/>
    <s v="Operational"/>
    <s v="Tata Power"/>
    <n v="1"/>
    <n v="1"/>
    <x v="1"/>
  </r>
  <r>
    <n v="313980"/>
    <s v="Moto Town Auto Hub - Tata Power"/>
    <s v="Wandoor"/>
    <s v="Kerala"/>
    <s v="India"/>
    <n v="11.223249600000001"/>
    <n v="76.21691525"/>
    <n v="1"/>
    <s v="Operational"/>
    <s v="Tata Power"/>
    <n v="1"/>
    <n v="1"/>
    <x v="1"/>
  </r>
  <r>
    <n v="313979"/>
    <s v="IOCL Aaditya Petroleum Naduvath Charging Station - Tata Power"/>
    <s v="Wandoor"/>
    <s v="Kerala"/>
    <s v="India"/>
    <n v="11.211054369999999"/>
    <n v="76.224685070000007"/>
    <n v="1"/>
    <s v="Temporarily Unavailable"/>
    <s v="Tata Power"/>
    <n v="0"/>
    <n v="0"/>
    <x v="1"/>
  </r>
  <r>
    <n v="313954"/>
    <s v="Rotana Motors Meenchanda - Tata Power"/>
    <s v="Meenchanda"/>
    <s v="Kerala"/>
    <s v="India"/>
    <n v="11.213908529999999"/>
    <n v="75.802632110000005"/>
    <n v="1"/>
    <s v="Operational"/>
    <s v="Tata Power"/>
    <n v="1"/>
    <n v="1"/>
    <x v="1"/>
  </r>
  <r>
    <n v="313953"/>
    <s v="IOCL Lakshmi Sales &amp; Service - Tata Power"/>
    <s v="Kozhikode"/>
    <s v="Kerala"/>
    <s v="India"/>
    <n v="11.233626859999999"/>
    <n v="75.803238530000002"/>
    <n v="1"/>
    <s v="Operational"/>
    <s v="Tata Power"/>
    <n v="1"/>
    <n v="1"/>
    <x v="1"/>
  </r>
  <r>
    <n v="313947"/>
    <s v="IOCL Engapuzha Fuel - Tata Power"/>
    <s v="Engapuzha"/>
    <s v="Kerala"/>
    <s v="India"/>
    <n v="11.46505013"/>
    <n v="75.970174700000001"/>
    <n v="1"/>
    <s v="Operational"/>
    <s v="Tata Power"/>
    <n v="1"/>
    <n v="1"/>
    <x v="1"/>
  </r>
  <r>
    <n v="313946"/>
    <s v="IOCl Balaji Petroleum - Tata Power"/>
    <s v="Sulthan Bathery"/>
    <s v="Kerala"/>
    <s v="India"/>
    <n v="11.660943019999999"/>
    <n v="76.240022819999993"/>
    <n v="1"/>
    <s v="Operational"/>
    <s v="Tata Power"/>
    <n v="1"/>
    <n v="1"/>
    <x v="1"/>
  </r>
  <r>
    <n v="313944"/>
    <s v="TML Marina Motors Pvt. Ltd. Kalpetta - Tata Power"/>
    <s v="Kalpetta"/>
    <s v="Kerala"/>
    <s v="India"/>
    <n v="11.63735277"/>
    <n v="76.094685380000001"/>
    <n v="1"/>
    <s v="Operational"/>
    <s v="Tata Power"/>
    <n v="1"/>
    <n v="1"/>
    <x v="1"/>
  </r>
  <r>
    <n v="313942"/>
    <s v="KVR Dream Vehicles Thalassery - Tata Power"/>
    <s v="Thalassery"/>
    <s v="Kerala"/>
    <s v="India"/>
    <n v="11.76173425"/>
    <n v="75.509068380000002"/>
    <n v="1"/>
    <s v="Operational"/>
    <s v="Tata Power"/>
    <n v="1"/>
    <n v="1"/>
    <x v="1"/>
  </r>
  <r>
    <n v="313941"/>
    <s v="IOCL - MK Petroleum - Tata Power"/>
    <s v="Thazhe Chovva"/>
    <s v="Kerala"/>
    <s v="India"/>
    <n v="11.86015018"/>
    <n v="75.414341219999997"/>
    <n v="1"/>
    <s v="Operational"/>
    <s v="Tata Power"/>
    <n v="1"/>
    <n v="1"/>
    <x v="1"/>
  </r>
  <r>
    <n v="313940"/>
    <s v="KVR Dream Vehicles Service Centre - Tata Power"/>
    <s v="Iritty"/>
    <s v="Kerala"/>
    <s v="India"/>
    <n v="11.990685920000001"/>
    <n v="75.658021829999996"/>
    <n v="1"/>
    <s v="Operational"/>
    <s v="Tata Power"/>
    <n v="1"/>
    <n v="1"/>
    <x v="1"/>
  </r>
  <r>
    <n v="313923"/>
    <s v="KVR Dream Vehicles Service Center - Tata Power"/>
    <s v="Payyanur"/>
    <s v="Kerala"/>
    <s v="India"/>
    <n v="12.120003260000001"/>
    <n v="75.217554509999999"/>
    <n v="1"/>
    <s v="Operational"/>
    <s v="Tata Power"/>
    <n v="1"/>
    <n v="1"/>
    <x v="1"/>
  </r>
  <r>
    <n v="313922"/>
    <s v="V-Net Shopping Complex - Tata Power"/>
    <s v="Payyannur"/>
    <s v="Kerala"/>
    <s v="India"/>
    <n v="12.175048479999999"/>
    <n v="75.193433330000005"/>
    <n v="1"/>
    <s v="Operational"/>
    <s v="Tata Power"/>
    <n v="1"/>
    <n v="1"/>
    <x v="1"/>
  </r>
  <r>
    <n v="313920"/>
    <s v="TML KVR Dream Vehicles EVCS - Tata Power"/>
    <s v="Kasaragod"/>
    <s v="Kerala"/>
    <s v="India"/>
    <n v="12.51345441"/>
    <n v="75.027122939999998"/>
    <n v="1"/>
    <s v="Temporarily Unavailable"/>
    <s v="Tata Power"/>
    <n v="0"/>
    <n v="0"/>
    <x v="1"/>
  </r>
  <r>
    <n v="313919"/>
    <s v="IOCL Top Fuels Karanthakkad Charging Station - Tata Power"/>
    <s v="Kasaragod"/>
    <s v="Kerala"/>
    <s v="India"/>
    <n v="12.509407899999999"/>
    <n v="74.986111140000006"/>
    <n v="1"/>
    <s v="Operational"/>
    <s v="Tata Power"/>
    <n v="1"/>
    <n v="1"/>
    <x v="1"/>
  </r>
  <r>
    <n v="313916"/>
    <s v="Appolo Dimora Hotel EVCS - GO EC"/>
    <s v="Thiruvananthapuram"/>
    <s v="Kerala"/>
    <s v="India"/>
    <n v="8.4886610069999993"/>
    <n v="76.950751670000002"/>
    <n v="1"/>
    <s v="Operational"/>
    <s v="GO EC (IN)"/>
    <n v="1"/>
    <n v="1"/>
    <x v="1"/>
  </r>
  <r>
    <n v="313912"/>
    <s v="KKP Renewables EVCS - GO EC"/>
    <s v="Karette"/>
    <s v="Kerala"/>
    <s v="India"/>
    <n v="8.7345233780000004"/>
    <n v="76.898016470000002"/>
    <n v="1"/>
    <s v="Operational"/>
    <s v="GO EC (IN)"/>
    <n v="1"/>
    <n v="1"/>
    <x v="1"/>
  </r>
  <r>
    <n v="313910"/>
    <s v="Zenith EVCS - GO EC"/>
    <s v="Attingal"/>
    <s v="Kerala"/>
    <s v="India"/>
    <n v="8.7330676589999996"/>
    <n v="76.810646550000001"/>
    <n v="1"/>
    <s v="Operational"/>
    <s v="GO EC (IN)"/>
    <n v="1"/>
    <n v="1"/>
    <x v="1"/>
  </r>
  <r>
    <n v="313901"/>
    <s v="Peninsula Park Residency EVCS - GO EC"/>
    <s v="Adoor"/>
    <s v="Kerala"/>
    <s v="India"/>
    <n v="9.1453059640000003"/>
    <n v="76.765858390000005"/>
    <n v="1"/>
    <s v="Operational"/>
    <s v="GO EC (IN)"/>
    <n v="1"/>
    <n v="1"/>
    <x v="1"/>
  </r>
  <r>
    <n v="313898"/>
    <s v="Zufo EVCS"/>
    <s v="Karunagappalli"/>
    <s v="Kerala"/>
    <s v="India"/>
    <n v="9.1323074109999993"/>
    <n v="76.513858290000002"/>
    <n v="1"/>
    <s v="Operational"/>
    <s v="GO EC (IN)"/>
    <n v="1"/>
    <n v="1"/>
    <x v="1"/>
  </r>
  <r>
    <n v="313894"/>
    <s v="Evergreen Continental EVCS - GO EC"/>
    <s v="Pathanamthitta"/>
    <s v="Kerala"/>
    <s v="India"/>
    <n v="9.2637768089999994"/>
    <n v="76.785435300000003"/>
    <n v="1"/>
    <s v="Operational"/>
    <s v="GO EC (IN)"/>
    <n v="1"/>
    <n v="1"/>
    <x v="1"/>
  </r>
  <r>
    <n v="313890"/>
    <s v="Calvarymount Jerry Plaza"/>
    <s v="Alliyar"/>
    <s v="Kerala"/>
    <s v="India"/>
    <n v="9.8069424890000008"/>
    <n v="77.047940260000004"/>
    <n v="1"/>
    <s v="Operational"/>
    <s v="GO EC (IN)"/>
    <n v="1"/>
    <n v="1"/>
    <x v="1"/>
  </r>
  <r>
    <n v="313889"/>
    <s v="Westgate Inn EVCS - GO EC"/>
    <s v="Kattappana"/>
    <s v="Kerala"/>
    <s v="India"/>
    <n v="9.7476172929999993"/>
    <n v="77.105417700000004"/>
    <n v="1"/>
    <s v="Operational"/>
    <s v="GO EC (IN)"/>
    <n v="1"/>
    <n v="1"/>
    <x v="1"/>
  </r>
  <r>
    <n v="313885"/>
    <s v="Nandanam EVCS - GO EC"/>
    <s v="Kodungoor"/>
    <s v="Kerala"/>
    <s v="India"/>
    <n v="9.5670747289999998"/>
    <n v="76.706094039999996"/>
    <n v="1"/>
    <s v="Operational"/>
    <s v="GO EC (IN)"/>
    <n v="1"/>
    <n v="1"/>
    <x v="1"/>
  </r>
  <r>
    <n v="313882"/>
    <s v="Nila's Magestic Arcade"/>
    <s v="Kidangoor"/>
    <s v="Kerala"/>
    <s v="India"/>
    <n v="9.6832481510000008"/>
    <n v="76.609753569999995"/>
    <n v="1"/>
    <s v="Operational"/>
    <s v="GO EC (IN)"/>
    <n v="1"/>
    <n v="1"/>
    <x v="1"/>
  </r>
  <r>
    <n v="313879"/>
    <s v="Manjoor Beeza Clubhouse EVCS - GO EC"/>
    <s v="Manjoor"/>
    <s v="Kerala"/>
    <s v="India"/>
    <n v="9.7275794260000001"/>
    <n v="76.520387769999999"/>
    <n v="1"/>
    <s v="Operational"/>
    <s v="GO EC (IN)"/>
    <n v="1"/>
    <n v="1"/>
    <x v="1"/>
  </r>
  <r>
    <n v="313877"/>
    <s v="The Grand Ambassador EVCS"/>
    <s v="Kottayam"/>
    <s v="Kerala"/>
    <s v="India"/>
    <n v="9.5893993359999996"/>
    <n v="76.526330529999996"/>
    <n v="1"/>
    <s v="Operational"/>
    <s v="GO EC (IN)"/>
    <n v="1"/>
    <n v="1"/>
    <x v="1"/>
  </r>
  <r>
    <n v="313875"/>
    <s v="Cassia Regency EVCS - GO EC"/>
    <s v="Alappuzha"/>
    <s v="Kerala"/>
    <s v="India"/>
    <n v="9.490169817"/>
    <n v="76.320737159999993"/>
    <n v="1"/>
    <s v="Operational"/>
    <s v="GO EC (IN)"/>
    <n v="1"/>
    <n v="1"/>
    <x v="1"/>
  </r>
  <r>
    <n v="313874"/>
    <s v="Neo Charge EVCS - GO EC"/>
    <s v="Alappuzha"/>
    <s v="Kerala"/>
    <s v="India"/>
    <n v="9.5594971690000001"/>
    <n v="76.328213590000004"/>
    <n v="1"/>
    <s v="Operational"/>
    <s v="GO EC (IN)"/>
    <n v="1"/>
    <n v="1"/>
    <x v="1"/>
  </r>
  <r>
    <n v="313873"/>
    <s v="Jason Orchard Inn EVCS - GO EC"/>
    <s v="Alappuzha"/>
    <s v="Kerala"/>
    <s v="India"/>
    <n v="9.5625750620000005"/>
    <n v="76.327584029999997"/>
    <n v="1"/>
    <s v="Operational"/>
    <s v="GO EC (IN)"/>
    <n v="1"/>
    <n v="1"/>
    <x v="1"/>
  </r>
  <r>
    <n v="313871"/>
    <s v="Vijaya EVCS - GO EC"/>
    <s v="Kanjiramattom"/>
    <s v="Kerala"/>
    <s v="India"/>
    <n v="9.851840438"/>
    <n v="76.389387869999993"/>
    <n v="1"/>
    <s v="Operational"/>
    <s v="GO EC (IN)"/>
    <n v="1"/>
    <n v="1"/>
    <x v="1"/>
  </r>
  <r>
    <n v="313870"/>
    <s v="MPA Tyres EVCS - GO EC"/>
    <s v="Thrippunithura"/>
    <s v="Kerala"/>
    <s v="India"/>
    <n v="9.9626102680000006"/>
    <n v="76.358001160000001"/>
    <n v="1"/>
    <s v="Operational"/>
    <s v="GO EC (IN)"/>
    <n v="1"/>
    <n v="1"/>
    <x v="1"/>
  </r>
  <r>
    <n v="313862"/>
    <s v="EVGO Hub - GO EC"/>
    <s v="Thrikkakkara"/>
    <s v="Kerala"/>
    <s v="India"/>
    <n v="10.035673989999999"/>
    <n v="76.336448450000006"/>
    <n v="1"/>
    <s v="Operational"/>
    <s v="GO EC (IN)"/>
    <n v="1"/>
    <n v="1"/>
    <x v="1"/>
  </r>
  <r>
    <n v="313858"/>
    <s v="EcoPlug EVCS - GO EC"/>
    <s v="Neriyamangalam"/>
    <s v="Kerala"/>
    <s v="India"/>
    <n v="10.05657909"/>
    <n v="76.77664747"/>
    <n v="1"/>
    <s v="Operational"/>
    <s v="GO EC (IN)"/>
    <n v="1"/>
    <n v="1"/>
    <x v="1"/>
  </r>
  <r>
    <n v="313855"/>
    <s v="Innate Convention Centre "/>
    <s v="Aluva"/>
    <s v="Kerala"/>
    <s v="India"/>
    <n v="10.13484738"/>
    <n v="76.354549039999995"/>
    <n v="1"/>
    <s v="Operational"/>
    <s v="GO EC (IN)"/>
    <n v="1"/>
    <n v="1"/>
    <x v="1"/>
  </r>
  <r>
    <n v="313853"/>
    <s v="Hotel Airlink Castle - GO EC"/>
    <s v="Athani"/>
    <s v="Kerala"/>
    <s v="India"/>
    <n v="10.15505346"/>
    <n v="76.354714529999995"/>
    <n v="1"/>
    <s v="Operational"/>
    <s v="GO EC (IN)"/>
    <n v="1"/>
    <n v="1"/>
    <x v="1"/>
  </r>
  <r>
    <n v="313850"/>
    <s v="Power Zone EV Charging Station - GO EC"/>
    <s v="North Paravur"/>
    <s v="Kerala"/>
    <s v="India"/>
    <n v="10.149673030000001"/>
    <n v="76.217564190000004"/>
    <n v="1"/>
    <s v="Operational"/>
    <s v="GO EC (IN)"/>
    <n v="1"/>
    <n v="1"/>
    <x v="1"/>
  </r>
  <r>
    <n v="313848"/>
    <s v="Parekkat's EVCS - GO EC"/>
    <s v="Mala"/>
    <s v="Kerala"/>
    <s v="India"/>
    <n v="10.24066912"/>
    <n v="76.27252885"/>
    <n v="1"/>
    <s v="Operational"/>
    <s v="GO EC (IN)"/>
    <n v="1"/>
    <n v="1"/>
    <x v="1"/>
  </r>
  <r>
    <n v="313841"/>
    <s v="Daiz and Co. EVCS - GO EC"/>
    <s v="Thrissur"/>
    <s v="Kerala"/>
    <s v="India"/>
    <n v="10.526149569999999"/>
    <n v="76.187954619999999"/>
    <n v="1"/>
    <s v="Operational"/>
    <s v="GO EC (IN)"/>
    <n v="1"/>
    <n v="1"/>
    <x v="1"/>
  </r>
  <r>
    <n v="313819"/>
    <s v="Sree Krishna Hotel - GO EC"/>
    <s v="Guruvayoor"/>
    <s v="Kerala"/>
    <s v="India"/>
    <n v="10.598447820000001"/>
    <n v="76.036367889999994"/>
    <n v="1"/>
    <s v="Operational"/>
    <s v="GO EC (IN)"/>
    <n v="1"/>
    <n v="1"/>
    <x v="1"/>
  </r>
  <r>
    <n v="313811"/>
    <s v="Jeevz - GO EC"/>
    <s v="Vadakkencherry"/>
    <s v="Kerala"/>
    <s v="India"/>
    <n v="10.593239029999999"/>
    <n v="76.48253527"/>
    <n v="1"/>
    <s v="Operational"/>
    <s v="GO EC (IN)"/>
    <n v="1"/>
    <n v="1"/>
    <x v="1"/>
  </r>
  <r>
    <n v="313808"/>
    <s v="AR Dine - GO EC"/>
    <s v="Cheruthuruthi"/>
    <s v="Kerala"/>
    <s v="India"/>
    <n v="10.750381969999999"/>
    <n v="76.274756600000003"/>
    <n v="1"/>
    <s v="Operational"/>
    <s v="GO EC (IN)"/>
    <n v="1"/>
    <n v="1"/>
    <x v="1"/>
  </r>
  <r>
    <n v="313807"/>
    <s v="EV Super Charging Station"/>
    <s v="Pattambi"/>
    <s v="Kerala"/>
    <s v="India"/>
    <n v="10.80479517"/>
    <n v="76.208157080000007"/>
    <n v="1"/>
    <s v="Operational"/>
    <s v="GO EC (IN)"/>
    <n v="1"/>
    <n v="1"/>
    <x v="1"/>
  </r>
  <r>
    <n v="313805"/>
    <s v="New Kerala Hotel EVCS - GO EC"/>
    <s v="Nhangattiri"/>
    <s v="Kerala"/>
    <s v="India"/>
    <n v="10.78488099"/>
    <n v="76.170676270000001"/>
    <n v="1"/>
    <s v="Operational"/>
    <s v="GO EC (IN)"/>
    <n v="1"/>
    <n v="1"/>
    <x v="1"/>
  </r>
  <r>
    <n v="313786"/>
    <s v="CG Cafe EVCS - GO EC"/>
    <s v="Pandikkad"/>
    <s v="Kerala"/>
    <s v="India"/>
    <n v="11.139596149999999"/>
    <n v="76.236113459999999"/>
    <n v="1"/>
    <s v="Operational"/>
    <s v="GO EC (IN)"/>
    <n v="1"/>
    <n v="1"/>
    <x v="1"/>
  </r>
  <r>
    <n v="313785"/>
    <s v="Karulai Malayora Express EVCS - GO EC"/>
    <s v="Karulai"/>
    <s v="Kerala"/>
    <s v="India"/>
    <n v="11.28804948"/>
    <n v="76.297981710000002"/>
    <n v="1"/>
    <s v="Operational"/>
    <s v="GO EC (IN)"/>
    <n v="1"/>
    <n v="1"/>
    <x v="1"/>
  </r>
  <r>
    <n v="313784"/>
    <s v="Jam Joom Super Market - GO EC"/>
    <s v="Nilambur"/>
    <s v="Kerala"/>
    <s v="India"/>
    <n v="11.28668073"/>
    <n v="76.239263789999995"/>
    <n v="1"/>
    <s v="Operational"/>
    <s v="GO EC (IN)"/>
    <n v="1"/>
    <n v="1"/>
    <x v="1"/>
  </r>
  <r>
    <n v="313783"/>
    <s v="ABS Motors - GO EC"/>
    <s v="Nilambur"/>
    <s v="Kerala"/>
    <s v="India"/>
    <n v="11.253647259999999"/>
    <n v="76.201901199999995"/>
    <n v="1"/>
    <s v="Operational"/>
    <s v="GO EC (IN)"/>
    <n v="1"/>
    <n v="1"/>
    <x v="1"/>
  </r>
  <r>
    <n v="313781"/>
    <s v="Jam Joom EV Charging Station - GO EC"/>
    <s v="Malappuram"/>
    <s v="Kerala"/>
    <s v="India"/>
    <n v="11.04318059"/>
    <n v="76.08430156"/>
    <n v="1"/>
    <s v="Operational"/>
    <s v="GO EC (IN)"/>
    <n v="1"/>
    <n v="1"/>
    <x v="1"/>
  </r>
  <r>
    <n v="313780"/>
    <s v="HIQ Highway Market - GO EC"/>
    <s v="Venniyour"/>
    <s v="Kerala"/>
    <s v="India"/>
    <n v="11.021175489999999"/>
    <n v="75.948126090000002"/>
    <n v="1"/>
    <s v="Operational"/>
    <s v="GO EC (IN)"/>
    <n v="1"/>
    <n v="1"/>
    <x v="1"/>
  </r>
  <r>
    <n v="313779"/>
    <s v="Chargify EV Super Charging Station "/>
    <s v="Malappuram"/>
    <s v="Kerala"/>
    <s v="India"/>
    <n v="11.078417050000001"/>
    <n v="75.902763919999998"/>
    <n v="1"/>
    <s v="Operational"/>
    <s v="GO EC (IN)"/>
    <n v="1"/>
    <n v="1"/>
    <x v="1"/>
  </r>
  <r>
    <n v="313778"/>
    <s v="Reliance Fresh EVCS"/>
    <s v="Kozhikode"/>
    <s v="Keral"/>
    <s v="India"/>
    <n v="11.23473742"/>
    <n v="75.846706589999997"/>
    <n v="1"/>
    <s v="Operational"/>
    <s v="GO EC (IN)"/>
    <n v="1"/>
    <n v="1"/>
    <x v="1"/>
  </r>
  <r>
    <n v="313777"/>
    <s v="Top Dines Hotel - GO EC"/>
    <s v="Muthanga"/>
    <s v="Kerala"/>
    <s v="India"/>
    <n v="11.670801989999999"/>
    <n v="76.361019659999997"/>
    <n v="1"/>
    <s v="Operational"/>
    <s v="GO EC (IN)"/>
    <n v="1"/>
    <n v="1"/>
    <x v="1"/>
  </r>
  <r>
    <n v="313776"/>
    <s v="Cafe Manoila - GO EC"/>
    <s v="Kalpetta"/>
    <s v="Kerala"/>
    <s v="India"/>
    <n v="11.59777661"/>
    <n v="76.08013837"/>
    <n v="1"/>
    <s v="Operational"/>
    <s v="GO EC (IN)"/>
    <n v="1"/>
    <n v="1"/>
    <x v="1"/>
  </r>
  <r>
    <n v="313775"/>
    <s v="CGH Wayanad Wild EV Charging Station - GO EC"/>
    <s v="Lakkidi"/>
    <s v="Kerala"/>
    <s v="India"/>
    <n v="11.51834425"/>
    <n v="76.021255699999998"/>
    <n v="1"/>
    <s v="Operational"/>
    <s v="GO EC (IN)"/>
    <n v="1"/>
    <n v="1"/>
    <x v="1"/>
  </r>
  <r>
    <n v="313773"/>
    <s v="HOTAG EV Charging Station - GO EC"/>
    <s v="Thamarassery"/>
    <s v="Kerala"/>
    <s v="India"/>
    <n v="11.40469328"/>
    <n v="75.929568059999994"/>
    <n v="1"/>
    <s v="Operational"/>
    <s v="GO EC (IN)"/>
    <n v="1"/>
    <n v="1"/>
    <x v="1"/>
  </r>
  <r>
    <n v="313761"/>
    <s v="Mandrin Sky - GO EC"/>
    <s v="Kannur"/>
    <s v="Kerala"/>
    <s v="India"/>
    <n v="11.92755972"/>
    <n v="75.500473150000005"/>
    <n v="1"/>
    <s v="Operational"/>
    <s v="GO EC (IN)"/>
    <n v="1"/>
    <n v="1"/>
    <x v="1"/>
  </r>
  <r>
    <n v="313760"/>
    <s v="JSR EVCS - GO EC"/>
    <s v="Mambaram"/>
    <s v="Kerala"/>
    <s v="India"/>
    <n v="11.82580205"/>
    <n v="75.508956710000007"/>
    <n v="1"/>
    <s v="Operational"/>
    <s v="GO EC (IN)"/>
    <n v="1"/>
    <n v="1"/>
    <x v="1"/>
  </r>
  <r>
    <n v="313759"/>
    <s v="Kannur H&amp;H"/>
    <s v="Melechowa"/>
    <s v="Kerala"/>
    <s v="India"/>
    <n v="11.871663699999999"/>
    <n v="75.395985859999996"/>
    <n v="1"/>
    <s v="Operational"/>
    <s v="GO EC (IN)"/>
    <n v="1"/>
    <n v="1"/>
    <x v="1"/>
  </r>
  <r>
    <n v="313756"/>
    <s v="Periya A Star - GO EC"/>
    <s v="Hosdurg"/>
    <s v="Kerala"/>
    <s v="India"/>
    <n v="12.40580531"/>
    <n v="75.096297609999993"/>
    <n v="1"/>
    <s v="Operational"/>
    <s v="GO EC (IN)"/>
    <n v="1"/>
    <n v="1"/>
    <x v="1"/>
  </r>
  <r>
    <n v="313755"/>
    <s v="Roshi EVCS (EVOK) - ChargeMOD"/>
    <s v="Kasaragod"/>
    <s v="Kerala"/>
    <s v="India"/>
    <n v="12.50597417"/>
    <n v="74.986780890000006"/>
    <n v="1"/>
    <s v="Operational"/>
    <s v="ChargeMod (IN)"/>
    <n v="1"/>
    <n v="1"/>
    <x v="1"/>
  </r>
  <r>
    <n v="313747"/>
    <s v="Sky Penta EVCS - ChargeMOD"/>
    <s v="Iritty"/>
    <s v="Kerala"/>
    <s v="India"/>
    <n v="11.98556153"/>
    <n v="75.676181659999997"/>
    <n v="1"/>
    <s v="Operational"/>
    <s v="ChargeMod (IN)"/>
    <n v="1"/>
    <n v="1"/>
    <x v="1"/>
  </r>
  <r>
    <n v="313746"/>
    <s v="Reboost EVCS - ChargeMOD"/>
    <s v="Panoor, Kannur"/>
    <s v="Kerala"/>
    <s v="India"/>
    <n v="11.75486663"/>
    <n v="75.57806506"/>
    <n v="1"/>
    <s v="Operational"/>
    <s v="ChargeMod (IN)"/>
    <n v="1"/>
    <n v="1"/>
    <x v="1"/>
  </r>
  <r>
    <n v="313745"/>
    <s v="Mindful EVCS - ChargeMOD"/>
    <s v="Payyoli"/>
    <s v="Kerala"/>
    <s v="India"/>
    <n v="11.520444919999999"/>
    <n v="75.617987740000004"/>
    <n v="1"/>
    <s v="Operational"/>
    <s v="ChargeMod (IN)"/>
    <n v="1"/>
    <n v="1"/>
    <x v="1"/>
  </r>
  <r>
    <n v="313744"/>
    <s v="EVOK Charger - ChargeMOD"/>
    <s v="Kuttiyady"/>
    <s v="Kerala"/>
    <s v="India"/>
    <n v="11.64890104"/>
    <n v="75.755936480000003"/>
    <n v="1"/>
    <s v="Operational"/>
    <s v="ChargeMod (IN)"/>
    <n v="1"/>
    <n v="1"/>
    <x v="1"/>
  </r>
  <r>
    <n v="313733"/>
    <s v="Kuttoth Enterprises EVCS - ChargeMOD"/>
    <s v="Kozhikode"/>
    <s v="Kerala"/>
    <s v="India"/>
    <n v="11.28067356"/>
    <n v="75.824631670000002"/>
    <n v="1"/>
    <s v="Operational"/>
    <s v="ChargeMod (IN)"/>
    <n v="1"/>
    <n v="1"/>
    <x v="1"/>
  </r>
  <r>
    <n v="313732"/>
    <s v="RG Nallanna EVCS (EVOK) - ChargeMOD"/>
    <s v="Kozhikode"/>
    <s v="Kerala"/>
    <s v="India"/>
    <n v="11.28081467"/>
    <n v="75.824349769999998"/>
    <n v="1"/>
    <s v="Operational"/>
    <s v="ChargeMod (IN)"/>
    <n v="1"/>
    <n v="1"/>
    <x v="1"/>
  </r>
  <r>
    <n v="313731"/>
    <s v="Solar Sparks EVCS - ChargeMOD"/>
    <s v="Koyilandi"/>
    <s v="Kerala"/>
    <s v="India"/>
    <n v="11.427675410000001"/>
    <n v="75.702996240000004"/>
    <n v="1"/>
    <s v="Operational"/>
    <s v="ChargeMod (IN)"/>
    <n v="1"/>
    <n v="1"/>
    <x v="1"/>
  </r>
  <r>
    <n v="313729"/>
    <s v="Hotel Arcore"/>
    <s v="Mysuru"/>
    <s v="Karnataka"/>
    <s v="India"/>
    <n v="12.352687400000001"/>
    <n v="76.6292033"/>
    <n v="1"/>
    <s v="Operational"/>
    <s v="Zeon Charging"/>
    <n v="1"/>
    <n v="1"/>
    <x v="11"/>
  </r>
  <r>
    <n v="313728"/>
    <s v="Manipal Hospital Mysore"/>
    <s v="Mysuru"/>
    <s v="Karnataka"/>
    <s v="India"/>
    <n v="12.350145879999999"/>
    <n v="76.660198910000005"/>
    <n v="1"/>
    <s v="Operational"/>
    <s v="Zeon Charging"/>
    <n v="1"/>
    <n v="1"/>
    <x v="11"/>
  </r>
  <r>
    <n v="313726"/>
    <s v="Gandhi Road KSEB EVCS - ChargeMOD"/>
    <s v="Kozhikode"/>
    <s v="Kerala"/>
    <s v="India"/>
    <n v="11.262784460000001"/>
    <n v="75.76824105"/>
    <n v="1"/>
    <s v="Operational"/>
    <s v="ChargeMod (IN)"/>
    <n v="1"/>
    <n v="1"/>
    <x v="1"/>
  </r>
  <r>
    <n v="313725"/>
    <s v="Mountainpass Residency - ChargeMOD"/>
    <s v="Vazhikadavu"/>
    <s v="Kerala"/>
    <s v="India"/>
    <n v="11.38662806"/>
    <n v="76.35472249"/>
    <n v="1"/>
    <s v="Operational"/>
    <s v="ChargeMod (IN)"/>
    <n v="1"/>
    <n v="1"/>
    <x v="1"/>
  </r>
  <r>
    <n v="313724"/>
    <s v="Trends Edavannappara EVCS - ChargeMOD"/>
    <s v="Edavannappara"/>
    <s v="Kerala"/>
    <s v="India"/>
    <n v="11.245323150000001"/>
    <n v="75.977491749999999"/>
    <n v="1"/>
    <s v="Operational"/>
    <s v="ChargeMod (IN)"/>
    <n v="1"/>
    <n v="1"/>
    <x v="1"/>
  </r>
  <r>
    <n v="313723"/>
    <s v="Indus Motors - ChargeMOD"/>
    <s v="Feroke"/>
    <s v="Kerala"/>
    <s v="India"/>
    <n v="11.18074376"/>
    <n v="75.851198640000007"/>
    <n v="1"/>
    <s v="Operational"/>
    <s v="ChargeMod (IN)"/>
    <n v="1"/>
    <n v="1"/>
    <x v="1"/>
  </r>
  <r>
    <n v="313722"/>
    <s v="Kay Pees Electricals (EVOK) - ChargeMOD"/>
    <s v="Pulikkal"/>
    <s v="Kerala"/>
    <s v="India"/>
    <n v="11.168867779999999"/>
    <n v="75.926768629999998"/>
    <n v="1"/>
    <s v="Operational"/>
    <s v="ChargeMod (IN)"/>
    <n v="1"/>
    <n v="1"/>
    <x v="1"/>
  </r>
  <r>
    <n v="313721"/>
    <s v="RG Nallanna EVCS (EVOK) - ChargeMOD"/>
    <s v="Aikkarapadi"/>
    <s v="Kerala"/>
    <s v="India"/>
    <n v="11.17327991"/>
    <n v="75.902151799999999"/>
    <n v="1"/>
    <s v="Operational"/>
    <s v="ChargeMod (IN)"/>
    <n v="1"/>
    <n v="1"/>
    <x v="1"/>
  </r>
  <r>
    <n v="313715"/>
    <s v="Krishna Enterprises - ChargeMOD"/>
    <s v="Manjeri"/>
    <s v="Kerala"/>
    <s v="India"/>
    <n v="11.12303335"/>
    <n v="76.115868430000006"/>
    <n v="1"/>
    <s v="Operational"/>
    <s v="ChargeMod (IN)"/>
    <n v="1"/>
    <n v="1"/>
    <x v="1"/>
  </r>
  <r>
    <n v="313714"/>
    <s v="Golden Baked EVCS - ChargeMOD"/>
    <s v="Manjeri"/>
    <s v="Kerala"/>
    <s v="India"/>
    <n v="11.12341107"/>
    <n v="76.124185159999996"/>
    <n v="1"/>
    <s v="Operational"/>
    <s v="ChargeMod (IN)"/>
    <n v="1"/>
    <n v="1"/>
    <x v="1"/>
  </r>
  <r>
    <n v="313711"/>
    <s v="Green Drive EVCS - ChargeMOD"/>
    <s v="Vengoor"/>
    <s v="Kerala"/>
    <s v="India"/>
    <n v="11.03450239"/>
    <n v="76.261886610000005"/>
    <n v="1"/>
    <s v="Operational"/>
    <s v="ChargeMod (IN)"/>
    <n v="1"/>
    <n v="1"/>
    <x v="1"/>
  </r>
  <r>
    <n v="313705"/>
    <s v="Sihla Energy - ChargeMOD"/>
    <s v="Mundur"/>
    <s v="Kerala"/>
    <s v="India"/>
    <n v="10.83949185"/>
    <n v="76.579999709999996"/>
    <n v="1"/>
    <s v="Operational"/>
    <s v="ChargeMod (IN)"/>
    <n v="1"/>
    <n v="1"/>
    <x v="1"/>
  </r>
  <r>
    <n v="313704"/>
    <s v="Lakshmi KRS EVCS - ChargeMOD"/>
    <s v="Sreekrishnapuram"/>
    <s v="Kerala"/>
    <s v="India"/>
    <n v="10.89808011"/>
    <n v="76.395295649999994"/>
    <n v="1"/>
    <s v="Operational"/>
    <s v="ChargeMod (IN)"/>
    <n v="1"/>
    <n v="1"/>
    <x v="1"/>
  </r>
  <r>
    <n v="313701"/>
    <s v="Syndicate Mall and Cinemas"/>
    <s v="Koppam"/>
    <s v="Kerala"/>
    <s v="India"/>
    <n v="10.87826592"/>
    <n v="76.187606619999997"/>
    <n v="1"/>
    <s v="Operational"/>
    <s v="ChargeMod (IN)"/>
    <n v="1"/>
    <n v="1"/>
    <x v="1"/>
  </r>
  <r>
    <n v="313699"/>
    <s v="Koottanad KSEB EVCS - ChargeMOD"/>
    <s v="Kootanad"/>
    <s v="Kerala"/>
    <s v="India"/>
    <n v="10.758293200000001"/>
    <n v="76.130366449999997"/>
    <n v="1"/>
    <s v="Operational"/>
    <s v="ChargeMod (IN)"/>
    <n v="1"/>
    <n v="1"/>
    <x v="1"/>
  </r>
  <r>
    <n v="313697"/>
    <s v="Kadharkkante Chayakkada - ChargeMOD"/>
    <s v="Changaramkulam"/>
    <s v="Kerala"/>
    <s v="India"/>
    <n v="10.73260554"/>
    <n v="76.037430069999999"/>
    <n v="1"/>
    <s v="Operational"/>
    <s v="ChargeMod (IN)"/>
    <n v="1"/>
    <n v="1"/>
    <x v="1"/>
  </r>
  <r>
    <n v="313695"/>
    <s v="Sihla Energy CV Junction"/>
    <s v="Ponnanu"/>
    <s v="Kerala"/>
    <s v="India"/>
    <n v="10.78474624"/>
    <n v="75.947152360000004"/>
    <n v="1"/>
    <s v="Operational"/>
    <s v="ChargeMod (IN)"/>
    <n v="1"/>
    <n v="1"/>
    <x v="1"/>
  </r>
  <r>
    <n v="313688"/>
    <s v="Core Multicusine Restaurant - ChargeMOD"/>
    <s v="Killannur"/>
    <s v="Kerala"/>
    <s v="India"/>
    <n v="10.605823669999999"/>
    <n v="76.211787630000003"/>
    <n v="1"/>
    <s v="Operational"/>
    <s v="ChargeMod (IN)"/>
    <n v="1"/>
    <n v="1"/>
    <x v="1"/>
  </r>
  <r>
    <n v="313679"/>
    <s v="Guardian EV Charging Station by Imminent Future - ChargeMOD"/>
    <s v="Thrissur"/>
    <s v="Kerala"/>
    <s v="India"/>
    <n v="10.522036160000001"/>
    <n v="76.227568899999994"/>
    <n v="1"/>
    <s v="Operational"/>
    <s v="ChargeMod (IN)"/>
    <n v="1"/>
    <n v="1"/>
    <x v="1"/>
  </r>
  <r>
    <n v="313678"/>
    <s v="Anchorage AC - ChargeMOD"/>
    <s v="Mundupalam"/>
    <s v="Kerala"/>
    <s v="India"/>
    <n v="10.51150301"/>
    <n v="76.221124259999996"/>
    <n v="1"/>
    <s v="Not Operational"/>
    <s v="ChargeMod (IN)"/>
    <n v="0"/>
    <n v="0"/>
    <x v="1"/>
  </r>
  <r>
    <n v="313676"/>
    <s v="Hotel Bhavan EVCS (EVOK) - ChargeMOD"/>
    <s v="Engandiyoor"/>
    <s v="Kerala"/>
    <s v="India"/>
    <n v="10.49768853"/>
    <n v="76.064642259999999"/>
    <n v="1"/>
    <s v="Operational"/>
    <s v="ChargeMod (IN)"/>
    <n v="1"/>
    <n v="1"/>
    <x v="1"/>
  </r>
  <r>
    <n v="313670"/>
    <s v="Irinjalakkuda KSEB EVCS - ChargeMOD"/>
    <s v="Irinjalakkuda"/>
    <s v="Kerala"/>
    <s v="India"/>
    <n v="10.3314231"/>
    <n v="76.21526077"/>
    <n v="1"/>
    <s v="Operational"/>
    <s v="ChargeMod (IN)"/>
    <n v="1"/>
    <n v="1"/>
    <x v="1"/>
  </r>
  <r>
    <n v="313669"/>
    <s v="Changathikoottam EVCS - ChargeMOD"/>
    <s v="Nenmara"/>
    <s v="Kerala"/>
    <s v="India"/>
    <n v="10.59340334"/>
    <n v="76.583525199999997"/>
    <n v="1"/>
    <s v="Operational"/>
    <s v="ChargeMod (IN)"/>
    <n v="1"/>
    <n v="1"/>
    <x v="1"/>
  </r>
  <r>
    <n v="313658"/>
    <s v="Korner EVCS - ChargeMOD"/>
    <s v="Thrissur"/>
    <s v="Kerala"/>
    <s v="India"/>
    <n v="10.367048479999999"/>
    <n v="76.31535658"/>
    <n v="1"/>
    <s v="Operational"/>
    <s v="ChargeMod (IN)"/>
    <n v="1"/>
    <n v="1"/>
    <x v="1"/>
  </r>
  <r>
    <n v="313655"/>
    <s v="Edassery Samrudhi Hypermarket (EVOK) - ChargeMOD"/>
    <s v="Chalakudy"/>
    <s v="Kerala"/>
    <s v="India"/>
    <n v="10.30310177"/>
    <n v="76.337042240000002"/>
    <n v="1"/>
    <s v="Operational"/>
    <s v="ChargeMod (IN)"/>
    <n v="1"/>
    <n v="1"/>
    <x v="1"/>
  </r>
  <r>
    <n v="313654"/>
    <s v="Indian Coffee House (EVOK) - ChargeMOD"/>
    <s v="Chalakkudy"/>
    <s v="Kerala"/>
    <s v="India"/>
    <n v="10.289343300000001"/>
    <n v="76.337068200000004"/>
    <n v="1"/>
    <s v="Operational"/>
    <s v="ChargeMod (IN)"/>
    <n v="1"/>
    <n v="1"/>
    <x v="1"/>
  </r>
  <r>
    <n v="313653"/>
    <s v="Clay House Hotel"/>
    <s v="Chalakkudy"/>
    <s v="Kerala"/>
    <s v="India"/>
    <n v="10.28557423"/>
    <n v="76.342377650000003"/>
    <n v="1"/>
    <s v="Operational"/>
    <s v="ChargeMod (IN)"/>
    <n v="1"/>
    <n v="1"/>
    <x v="1"/>
  </r>
  <r>
    <n v="313649"/>
    <s v="EVOK Charging Station - ChargeMOD"/>
    <s v="Angamaly"/>
    <s v="Kerala"/>
    <s v="India"/>
    <n v="10.21406148"/>
    <n v="76.379367290000005"/>
    <n v="1"/>
    <s v="Operational"/>
    <s v="ChargeMod (IN)"/>
    <n v="1"/>
    <n v="1"/>
    <x v="1"/>
  </r>
  <r>
    <n v="313643"/>
    <s v="Capgo EVCS - ChargeMOD"/>
    <s v="Nedumbassery"/>
    <s v="Kerala"/>
    <s v="India"/>
    <n v="10.159914479999999"/>
    <n v="76.389158269999996"/>
    <n v="1"/>
    <s v="Operational"/>
    <s v="ChargeMod (IN)"/>
    <n v="1"/>
    <n v="1"/>
    <x v="1"/>
  </r>
  <r>
    <n v="313642"/>
    <s v="Jippus Galaxy EVCS - ChargeMOD"/>
    <s v="Nedumbassery"/>
    <s v="Kerala"/>
    <s v="India"/>
    <n v="10.161062060000001"/>
    <n v="76.38563078"/>
    <n v="1"/>
    <s v="Operational"/>
    <s v="ChargeMod (IN)"/>
    <n v="1"/>
    <n v="1"/>
    <x v="1"/>
  </r>
  <r>
    <n v="313641"/>
    <s v="Airsuite Airport Hotel"/>
    <s v="Nedumbassery"/>
    <s v="Kerala"/>
    <s v="India"/>
    <n v="10.15929513"/>
    <n v="76.378522880000006"/>
    <n v="1"/>
    <s v="Not Operational"/>
    <s v="ChargeMod (IN)"/>
    <n v="0"/>
    <n v="0"/>
    <x v="1"/>
  </r>
  <r>
    <n v="313638"/>
    <s v="Sulfex Mattress (EVOK) - ChargeMOD"/>
    <s v="Choornikkara"/>
    <s v="Kerala"/>
    <s v="India"/>
    <n v="10.081559650000001"/>
    <n v="76.339867420000004"/>
    <n v="1"/>
    <s v="Operational"/>
    <s v="ChargeMod (IN)"/>
    <n v="1"/>
    <n v="1"/>
    <x v="1"/>
  </r>
  <r>
    <n v="313636"/>
    <s v="Steelane (EVOK) - ChargeMOD"/>
    <s v="Kalamassery"/>
    <s v="Kerala"/>
    <s v="India"/>
    <n v="10.040433869999999"/>
    <n v="76.338524070000005"/>
    <n v="1"/>
    <s v="Operational"/>
    <s v="ChargeMod (IN)"/>
    <n v="1"/>
    <n v="1"/>
    <x v="1"/>
  </r>
  <r>
    <n v="313630"/>
    <s v="Chillax EVCS (EVOK) - ChargeMOD"/>
    <s v="Thammanam"/>
    <s v="Kerala"/>
    <s v="India"/>
    <n v="9.9850051779999998"/>
    <n v="76.316065429999995"/>
    <n v="1"/>
    <s v="Operational"/>
    <s v="ChargeMod (IN)"/>
    <n v="1"/>
    <n v="1"/>
    <x v="1"/>
  </r>
  <r>
    <n v="313629"/>
    <s v="Evee Buddy - Memaid EVCS - ChargeMOD"/>
    <s v="Vyttila"/>
    <s v="Kerala"/>
    <s v="India"/>
    <n v="9.9716848040000006"/>
    <n v="76.324159629999997"/>
    <n v="1"/>
    <s v="Operational"/>
    <s v="ChargeMod (IN)"/>
    <n v="1"/>
    <n v="1"/>
    <x v="1"/>
  </r>
  <r>
    <n v="313622"/>
    <s v="Raos EVCS - ChargeMOD"/>
    <s v="Thrippunithara"/>
    <s v="Kerala"/>
    <s v="India"/>
    <n v="9.9325463420000002"/>
    <n v="76.38829398"/>
    <n v="1"/>
    <s v="Operational"/>
    <s v="ChargeMod (IN)"/>
    <n v="1"/>
    <n v="1"/>
    <x v="1"/>
  </r>
  <r>
    <n v="313617"/>
    <s v="Hotel Oottupura (EVOK) - ChargeMOD"/>
    <s v="Perumbavoor"/>
    <s v="Kerala"/>
    <s v="India"/>
    <n v="10.130170870000001"/>
    <n v="76.470720209999996"/>
    <n v="1"/>
    <s v="Operational"/>
    <s v="ChargeMod (IN)"/>
    <n v="1"/>
    <n v="1"/>
    <x v="1"/>
  </r>
  <r>
    <n v="313614"/>
    <s v="GATR PowerFin EVCS - ChargeMOD"/>
    <s v="Muvattupuzha"/>
    <s v="Kerala"/>
    <s v="India"/>
    <n v="9.9794685530000002"/>
    <n v="76.550678129999994"/>
    <n v="1"/>
    <s v="Operational"/>
    <s v="ChargeMod (IN)"/>
    <n v="1"/>
    <n v="1"/>
    <x v="1"/>
  </r>
  <r>
    <n v="313602"/>
    <s v="BMW EVM Autokraft Service Center - ChargeMOD"/>
    <s v="Kochuveli"/>
    <s v="Kerala"/>
    <s v="India"/>
    <n v="8.5023293280000001"/>
    <n v="76.897725570000006"/>
    <n v="1"/>
    <s v="Operational"/>
    <s v="ChargeMod (IN)"/>
    <n v="1"/>
    <n v="1"/>
    <x v="1"/>
  </r>
  <r>
    <n v="313598"/>
    <s v="Electro Zone EV Fast Charging Station - ChargeMOD"/>
    <s v="Karyavattom"/>
    <s v="Kerala"/>
    <s v="India"/>
    <n v="8.5608201519999998"/>
    <n v="76.898164640000005"/>
    <n v="1"/>
    <s v="Operational"/>
    <s v="ChargeMod (IN)"/>
    <n v="1"/>
    <n v="1"/>
    <x v="1"/>
  </r>
  <r>
    <n v="313592"/>
    <s v="Palm Peats (EVOK) - ChargeMOD"/>
    <s v="Erattupetta"/>
    <s v="Kerala"/>
    <s v="India"/>
    <n v="9.6906789680000003"/>
    <n v="76.774589730000002"/>
    <n v="1"/>
    <s v="Operational"/>
    <s v="ChargeMod (IN)"/>
    <n v="1"/>
    <n v="1"/>
    <x v="1"/>
  </r>
  <r>
    <n v="313591"/>
    <s v="Flour Mill (EVOK) - ChargeMOD"/>
    <s v="Pala"/>
    <s v="Kerala"/>
    <s v="India"/>
    <n v="9.7119183479999993"/>
    <n v="76.693244500000006"/>
    <n v="1"/>
    <s v="Operational"/>
    <s v="ChargeMod (IN)"/>
    <n v="1"/>
    <n v="1"/>
    <x v="1"/>
  </r>
  <r>
    <n v="313586"/>
    <s v="Indraprastha Hotel (EVOK) - ChargeMOD"/>
    <s v="Kottayam"/>
    <s v="Kerala"/>
    <s v="India"/>
    <n v="9.6018369589999999"/>
    <n v="76.532159010000001"/>
    <n v="1"/>
    <s v="Operational"/>
    <s v="ChargeMod (IN)"/>
    <n v="1"/>
    <n v="1"/>
    <x v="1"/>
  </r>
  <r>
    <n v="313583"/>
    <s v="Amma Restaurant"/>
    <s v="Alappuzha"/>
    <s v="Kerala"/>
    <s v="India"/>
    <n v="9.5199320449999991"/>
    <n v="76.327521640000001"/>
    <n v="1"/>
    <s v="Operational"/>
    <s v="ChargeMod (IN)"/>
    <n v="1"/>
    <n v="1"/>
    <x v="1"/>
  </r>
  <r>
    <n v="313582"/>
    <s v="Thankamanys EV Fast Charging Station - ChargeMOD"/>
    <s v="Alappuzha"/>
    <s v="Kerala"/>
    <s v="India"/>
    <n v="9.5051474650000003"/>
    <n v="76.328325980000002"/>
    <n v="1"/>
    <s v="Operational"/>
    <s v="ChargeMod (IN)"/>
    <n v="1"/>
    <n v="1"/>
    <x v="1"/>
  </r>
  <r>
    <n v="313578"/>
    <s v="Wealfro EV Hub"/>
    <s v="Thiruvalla"/>
    <s v="Kerala"/>
    <s v="India"/>
    <n v="9.4210762670000001"/>
    <n v="76.546134170000002"/>
    <n v="1"/>
    <s v="Operational"/>
    <s v="ChargeMod (IN)"/>
    <n v="1"/>
    <n v="1"/>
    <x v="1"/>
  </r>
  <r>
    <n v="313577"/>
    <s v="Anand Hypermarket - ChargeMOD"/>
    <s v="Thiruvalla"/>
    <s v="Kerala"/>
    <s v="India"/>
    <n v="9.3733219820000002"/>
    <n v="76.564810649999998"/>
    <n v="1"/>
    <s v="Operational"/>
    <s v="ChargeMod (IN)"/>
    <n v="1"/>
    <n v="1"/>
    <x v="1"/>
  </r>
  <r>
    <n v="313560"/>
    <s v="EVOK Pathanamthitta - ChargeMOD"/>
    <s v="Pathanamthitta"/>
    <s v="Kerala"/>
    <s v="India"/>
    <n v="9.3062220520000007"/>
    <n v="76.803665780000003"/>
    <n v="1"/>
    <s v="Operational"/>
    <s v="ChargeMod (IN)"/>
    <n v="1"/>
    <n v="1"/>
    <x v="1"/>
  </r>
  <r>
    <n v="313559"/>
    <s v="Green Plug EVCS - ChargeMOD"/>
    <s v="Chengannur"/>
    <s v="Kerala"/>
    <s v="India"/>
    <n v="9.2718446570000008"/>
    <n v="76.655087890000004"/>
    <n v="1"/>
    <s v="Operational"/>
    <s v="ChargeMod (IN)"/>
    <n v="1"/>
    <n v="1"/>
    <x v="1"/>
  </r>
  <r>
    <n v="313554"/>
    <s v="Askar EV - ChargeMOD"/>
    <s v="Mavelikkara"/>
    <s v="Kerala"/>
    <s v="India"/>
    <n v="9.2325055799999998"/>
    <n v="76.537902779999996"/>
    <n v="1"/>
    <s v="Operational"/>
    <s v="ChargeMod (IN)"/>
    <n v="1"/>
    <n v="1"/>
    <x v="1"/>
  </r>
  <r>
    <n v="313553"/>
    <s v="Anaswara Jewellers EVCS - ChargeMOD"/>
    <s v="Konni"/>
    <s v="Kerala"/>
    <s v="India"/>
    <n v="9.2291284240000007"/>
    <n v="76.848391280000001"/>
    <n v="1"/>
    <s v="Operational"/>
    <s v="ChargeMod (IN)"/>
    <n v="1"/>
    <n v="1"/>
    <x v="1"/>
  </r>
  <r>
    <n v="313550"/>
    <s v="Adhithya Green Power - ChargeMOD"/>
    <s v="Paranthal"/>
    <s v="Kerala"/>
    <s v="India"/>
    <n v="9.1803079459999992"/>
    <n v="76.708966759999996"/>
    <n v="1"/>
    <s v="Operational"/>
    <s v="ChargeMod (IN)"/>
    <n v="1"/>
    <n v="1"/>
    <x v="1"/>
  </r>
  <r>
    <n v="313549"/>
    <s v="SR Auto Zone - ChargeMOD"/>
    <s v="Adoor"/>
    <s v="Kerala"/>
    <s v="India"/>
    <n v="9.1624994050000002"/>
    <n v="76.710516780000006"/>
    <n v="1"/>
    <s v="Operational"/>
    <s v="ChargeMod (IN)"/>
    <n v="1"/>
    <n v="1"/>
    <x v="1"/>
  </r>
  <r>
    <n v="313547"/>
    <s v="Royale Regency (EVOK) - ChargeMOD"/>
    <s v="Ochira"/>
    <s v="Kerala"/>
    <s v="India"/>
    <n v="9.1306255949999997"/>
    <n v="76.514297139999996"/>
    <n v="1"/>
    <s v="Operational"/>
    <s v="ChargeMod (IN)"/>
    <n v="1"/>
    <n v="1"/>
    <x v="1"/>
  </r>
  <r>
    <n v="313545"/>
    <s v="Ente Veedu Interior (EVOK) - ChargeMOD"/>
    <s v="Kottarakkara"/>
    <s v="Kerala"/>
    <s v="India"/>
    <n v="9.0303518700000005"/>
    <n v="76.782197769999996"/>
    <n v="1"/>
    <s v="Operational"/>
    <s v="ChargeMod (IN)"/>
    <n v="1"/>
    <n v="1"/>
    <x v="1"/>
  </r>
  <r>
    <n v="313541"/>
    <s v="Thenmala EVOK - ChargeMOD"/>
    <s v="Thenmala"/>
    <s v="Kerala"/>
    <s v="India"/>
    <n v="8.9668241959999992"/>
    <n v="77.055629629999999"/>
    <n v="1"/>
    <s v="Operational"/>
    <s v="ChargeMod (IN)"/>
    <n v="1"/>
    <n v="1"/>
    <x v="1"/>
  </r>
  <r>
    <n v="313540"/>
    <s v="Plug N Pay EVCS - ChargeMOD"/>
    <s v="Odanavattom"/>
    <s v="Kerala"/>
    <s v="India"/>
    <n v="8.9350452100000002"/>
    <n v="76.772415480000006"/>
    <n v="1"/>
    <s v="Operational"/>
    <s v="ChargeMod (IN)"/>
    <n v="1"/>
    <n v="1"/>
    <x v="1"/>
  </r>
  <r>
    <n v="313536"/>
    <s v="VOX Xpress Wash (EVOK) - ChargeMOD"/>
    <s v="Kollam"/>
    <s v="Kerala"/>
    <s v="India"/>
    <n v="8.8738680159999994"/>
    <n v="76.641008929999998"/>
    <n v="1"/>
    <s v="Operational"/>
    <s v="ChargeMod (IN)"/>
    <n v="1"/>
    <n v="1"/>
    <x v="1"/>
  </r>
  <r>
    <n v="313535"/>
    <s v="EVOK Charging Stattion - ChargeMOD"/>
    <s v="Parippalli"/>
    <s v="Kerala"/>
    <s v="India"/>
    <n v="8.8196738680000006"/>
    <n v="76.753637310000002"/>
    <n v="1"/>
    <s v="Operational"/>
    <s v="ChargeMod (IN)"/>
    <n v="1"/>
    <n v="1"/>
    <x v="1"/>
  </r>
  <r>
    <n v="313498"/>
    <s v="GreenVeel"/>
    <s v="Muvattupuzha"/>
    <s v="Kerala"/>
    <s v="India"/>
    <n v="9.9737837779999996"/>
    <n v="76.600694090000005"/>
    <n v="1"/>
    <s v="Operational"/>
    <s v="ChargeMod (IN)"/>
    <n v="1"/>
    <n v="1"/>
    <x v="1"/>
  </r>
  <r>
    <n v="313475"/>
    <s v="Raj Residency - Zeon"/>
    <s v="Kanhangad"/>
    <s v="Kerala"/>
    <s v="India"/>
    <n v="12.30424174"/>
    <n v="75.097041779999998"/>
    <n v="1"/>
    <s v="Operational"/>
    <s v="Zeon Charging"/>
    <n v="1"/>
    <n v="1"/>
    <x v="1"/>
  </r>
  <r>
    <n v="313474"/>
    <s v="Koodali SCB"/>
    <s v="Kannur"/>
    <s v="Kerala"/>
    <s v="India"/>
    <n v="11.9270166"/>
    <n v="75.500422060000005"/>
    <n v="1"/>
    <s v="Operational"/>
    <s v="Zeon Charging"/>
    <n v="1"/>
    <n v="1"/>
    <x v="1"/>
  </r>
  <r>
    <n v="313469"/>
    <s v="Issacs Centre Square - Zeon"/>
    <s v="Sulthan Batheri"/>
    <s v="Kerala"/>
    <s v="India"/>
    <n v="11.66124226"/>
    <n v="76.255681420000002"/>
    <n v="1"/>
    <s v="Operational"/>
    <s v="Unknown"/>
    <n v="1"/>
    <n v="1"/>
    <x v="1"/>
  </r>
  <r>
    <n v="313468"/>
    <s v="Great Trails Wayanad by GRT Hotels"/>
    <s v="Kalpetta"/>
    <s v="Kerala"/>
    <s v="India"/>
    <n v="11.63045584"/>
    <n v="76.018145840000003"/>
    <n v="1"/>
    <s v="Operational"/>
    <s v="Zeon Charging"/>
    <n v="1"/>
    <n v="1"/>
    <x v="1"/>
  </r>
  <r>
    <n v="313467"/>
    <s v="Nesto Hypermarket - Zeon"/>
    <s v="Kalpetta"/>
    <s v="Kerala"/>
    <s v="India"/>
    <n v="11.60311373"/>
    <n v="76.083149039999995"/>
    <n v="1"/>
    <s v="Operational"/>
    <s v="Zeon Charging"/>
    <n v="1"/>
    <n v="1"/>
    <x v="1"/>
  </r>
  <r>
    <n v="313460"/>
    <s v="Club Sulaimani - Zeon"/>
    <s v="Kottakkal"/>
    <s v="Kerala"/>
    <s v="India"/>
    <n v="10.98386743"/>
    <n v="75.998029500000001"/>
    <n v="1"/>
    <s v="Operational"/>
    <s v="Zeon Charging"/>
    <n v="1"/>
    <n v="1"/>
    <x v="1"/>
  </r>
  <r>
    <n v="313458"/>
    <s v="Emirates Mall - Zeon"/>
    <s v="Edappal"/>
    <s v="Kerala"/>
    <s v="India"/>
    <n v="10.78602051"/>
    <n v="76.008161819999998"/>
    <n v="1"/>
    <s v="Operational"/>
    <s v="Zeon Charging"/>
    <n v="1"/>
    <n v="1"/>
    <x v="1"/>
  </r>
  <r>
    <n v="313456"/>
    <s v="Hotel Devaragam"/>
    <s v="Guruvayur"/>
    <s v="Kerala"/>
    <s v="India"/>
    <n v="10.595622580000001"/>
    <n v="76.044598429999994"/>
    <n v="1"/>
    <s v="Operational"/>
    <s v="Zeon Charging"/>
    <n v="1"/>
    <n v="1"/>
    <x v="1"/>
  </r>
  <r>
    <n v="313454"/>
    <s v="Dream City Convention Center"/>
    <s v="Pattikkad"/>
    <s v="Kerala"/>
    <s v="India"/>
    <n v="10.55587199"/>
    <n v="76.322822520000003"/>
    <n v="1"/>
    <s v="Operational"/>
    <s v="Zeon Charging"/>
    <n v="1"/>
    <n v="1"/>
    <x v="1"/>
  </r>
  <r>
    <n v="313450"/>
    <s v="Maxx Inn M Star"/>
    <s v="Angamaly"/>
    <s v="Kerala"/>
    <s v="India"/>
    <n v="10.222723759999999"/>
    <n v="76.375697740000007"/>
    <n v="1"/>
    <s v="Operational"/>
    <s v="Zeon Charging"/>
    <n v="1"/>
    <n v="1"/>
    <x v="1"/>
  </r>
  <r>
    <n v="313446"/>
    <s v="Gokul Oottupura Restaurant"/>
    <s v="Edappalli"/>
    <s v="Kerala"/>
    <s v="India"/>
    <n v="10.01114482"/>
    <n v="76.312497410000006"/>
    <n v="1"/>
    <s v="Operational"/>
    <s v="Zeon Charging"/>
    <n v="1"/>
    <n v="1"/>
    <x v="1"/>
  </r>
  <r>
    <n v="313445"/>
    <s v="Brunton Boatyard"/>
    <s v="Cochin"/>
    <s v="Kerala"/>
    <s v="India"/>
    <n v="9.9683045250000006"/>
    <n v="76.245709480000002"/>
    <n v="1"/>
    <s v="Operational"/>
    <s v="Zeon Charging"/>
    <n v="1"/>
    <n v="1"/>
    <x v="1"/>
  </r>
  <r>
    <n v="313444"/>
    <s v="Casino Hotel"/>
    <s v="Kochi"/>
    <s v="Kerala"/>
    <s v="India"/>
    <n v="9.9614312439999999"/>
    <n v="76.269490950000005"/>
    <n v="1"/>
    <s v="Operational"/>
    <s v="Zeon Charging"/>
    <n v="1"/>
    <n v="1"/>
    <x v="1"/>
  </r>
  <r>
    <n v="313442"/>
    <s v="Eden Wood Resorts"/>
    <s v="Munnar"/>
    <s v="Kerala"/>
    <s v="India"/>
    <n v="10.025676320000001"/>
    <n v="77.053771060000003"/>
    <n v="1"/>
    <s v="Operational"/>
    <s v="Zeon Charging"/>
    <n v="1"/>
    <n v="1"/>
    <x v="1"/>
  </r>
  <r>
    <n v="313440"/>
    <s v="CGH Marari Beach"/>
    <s v="Mararikulam"/>
    <s v="Kerala"/>
    <s v="India"/>
    <n v="9.596033619"/>
    <n v="76.302770240000001"/>
    <n v="1"/>
    <s v="Operational"/>
    <s v="Zeon Charging"/>
    <n v="1"/>
    <n v="1"/>
    <x v="1"/>
  </r>
  <r>
    <n v="313438"/>
    <s v="Hotel Aida"/>
    <s v="Kottayam"/>
    <s v="Kerala"/>
    <s v="India"/>
    <n v="9.5828804759999997"/>
    <n v="76.521686220000007"/>
    <n v="1"/>
    <s v="Operational"/>
    <s v="Zeon Charging"/>
    <n v="1"/>
    <n v="1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C120D64-0AD8-48CC-8AFC-6050D7ED3176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A2:B21" firstHeaderRow="1" firstDataRow="1" firstDataCol="1"/>
  <pivotFields count="13"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axis="axisRow" showAll="0" sortType="descending">
      <items count="21">
        <item x="14"/>
        <item x="8"/>
        <item x="7"/>
        <item x="9"/>
        <item x="17"/>
        <item x="11"/>
        <item m="1" x="18"/>
        <item x="1"/>
        <item x="12"/>
        <item x="10"/>
        <item x="15"/>
        <item x="0"/>
        <item x="5"/>
        <item x="4"/>
        <item x="3"/>
        <item x="6"/>
        <item x="2"/>
        <item x="13"/>
        <item m="1" x="19"/>
        <item x="1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12"/>
  </rowFields>
  <rowItems count="19">
    <i>
      <x v="7"/>
    </i>
    <i>
      <x v="11"/>
    </i>
    <i>
      <x v="13"/>
    </i>
    <i>
      <x v="16"/>
    </i>
    <i>
      <x v="12"/>
    </i>
    <i>
      <x v="17"/>
    </i>
    <i>
      <x v="14"/>
    </i>
    <i>
      <x v="1"/>
    </i>
    <i>
      <x v="8"/>
    </i>
    <i>
      <x v="15"/>
    </i>
    <i>
      <x v="9"/>
    </i>
    <i>
      <x v="5"/>
    </i>
    <i>
      <x v="19"/>
    </i>
    <i>
      <x v="4"/>
    </i>
    <i>
      <x v="2"/>
    </i>
    <i>
      <x v="3"/>
    </i>
    <i>
      <x v="10"/>
    </i>
    <i>
      <x/>
    </i>
    <i t="grand">
      <x/>
    </i>
  </rowItems>
  <colItems count="1">
    <i/>
  </colItems>
  <dataFields count="1">
    <dataField name="Sum of charging_points" fld="7" baseField="0" baseItem="0"/>
  </dataFields>
  <chartFormats count="1"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E3864C3-DEB1-4470-80E7-83F3A4AF216F}" name="tbl_ChargingStation" displayName="tbl_ChargingStation" ref="A1:M1001" totalsRowShown="0" headerRowDxfId="4">
  <autoFilter ref="A1:M1001" xr:uid="{FEEE16DA-BC78-4533-99DB-46C08BF62237}"/>
  <sortState xmlns:xlrd2="http://schemas.microsoft.com/office/spreadsheetml/2017/richdata2" ref="A2:L1001">
    <sortCondition descending="1" ref="H1:H1001"/>
  </sortState>
  <tableColumns count="13">
    <tableColumn id="1" xr3:uid="{DD04F831-B4D6-496A-AB35-9F6D305A9B01}" name="station_id"/>
    <tableColumn id="2" xr3:uid="{9F43F12A-E2C1-4679-9FF7-666A8DBC5D80}" name="station_name"/>
    <tableColumn id="3" xr3:uid="{46C77A3D-00BB-4F63-8BFF-661025CD3A89}" name="city"/>
    <tableColumn id="4" xr3:uid="{703DED54-8682-42DF-B404-D75711472E75}" name="state"/>
    <tableColumn id="5" xr3:uid="{5F1C8854-D29C-4F14-8D64-2044F8F845E8}" name="country"/>
    <tableColumn id="6" xr3:uid="{F7ECA7BF-C68F-4615-BC15-78DB8F77A5EA}" name="latitude"/>
    <tableColumn id="7" xr3:uid="{60B9F575-49A5-4CAA-8AA9-379FBAD535A4}" name="longitude"/>
    <tableColumn id="8" xr3:uid="{42E079A1-31DB-4EAE-9FC1-4BBE845617DF}" name="charging_points"/>
    <tableColumn id="9" xr3:uid="{E28A4E40-42AB-4971-B1FE-668FDEA8C553}" name="status"/>
    <tableColumn id="10" xr3:uid="{EC18D823-6414-4652-AA96-286488D516CA}" name="operator"/>
    <tableColumn id="11" xr3:uid="{DF18928C-3326-4B48-922A-97CC242C7778}" name="Operational_Flag" dataDxfId="3">
      <calculatedColumnFormula>IF(tbl_ChargingStation[[#This Row],[status]]="Operational",1,0)</calculatedColumnFormula>
    </tableColumn>
    <tableColumn id="12" xr3:uid="{E67BA0B9-7E00-4326-9638-8E03355AC6ED}" name="Active_Charging_Points" dataDxfId="2">
      <calculatedColumnFormula>H2*K2</calculatedColumnFormula>
    </tableColumn>
    <tableColumn id="13" xr3:uid="{23B06D94-2939-4D39-8683-7B53493AB0EC}" name="Clean_State" dataDxfId="1">
      <calculatedColumnFormula>IF(D2="GJ","Gujarat",IF(OR(D2="Keral",D2="Keraka",D2="Lerala"),"Kerala",IF(D2="MH","Maharashtra",IF(D2="MP","Madhya Pradesh",IF(D2="RJ","Rajasthan",IF(D2="TAMILNADU","Tamil Nadu",IF(D2="Uttarakhnad","Uttarakhand",D2)))))))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441ED1-1F5A-4A83-B57E-E350D26FCE62}">
  <dimension ref="A1:B9"/>
  <sheetViews>
    <sheetView workbookViewId="0">
      <selection activeCell="D3" sqref="D3"/>
    </sheetView>
  </sheetViews>
  <sheetFormatPr defaultRowHeight="14.4"/>
  <cols>
    <col min="1" max="1" width="10.5546875" customWidth="1"/>
    <col min="2" max="2" width="8.33203125" bestFit="1" customWidth="1"/>
  </cols>
  <sheetData>
    <row r="1" spans="1:2">
      <c r="A1" s="2" t="s">
        <v>1081</v>
      </c>
      <c r="B1" s="2" t="s">
        <v>1082</v>
      </c>
    </row>
    <row r="2" spans="1:2" ht="43.2">
      <c r="A2" s="4" t="s">
        <v>1083</v>
      </c>
      <c r="B2" s="4" t="s">
        <v>1084</v>
      </c>
    </row>
    <row r="3" spans="1:2" ht="28.8">
      <c r="A3" s="3" t="s">
        <v>1085</v>
      </c>
      <c r="B3" s="3">
        <v>1000</v>
      </c>
    </row>
    <row r="4" spans="1:2" ht="28.8">
      <c r="A4" s="3" t="s">
        <v>1086</v>
      </c>
      <c r="B4" s="3">
        <v>0</v>
      </c>
    </row>
    <row r="5" spans="1:2" ht="28.8">
      <c r="A5" s="3" t="s">
        <v>1087</v>
      </c>
      <c r="B5" s="3">
        <v>578</v>
      </c>
    </row>
    <row r="6" spans="1:2" ht="28.8">
      <c r="A6" s="3" t="s">
        <v>1088</v>
      </c>
      <c r="B6" s="3">
        <v>6</v>
      </c>
    </row>
    <row r="7" spans="1:2" ht="28.8">
      <c r="A7" s="3" t="s">
        <v>1089</v>
      </c>
      <c r="B7" s="3">
        <v>975</v>
      </c>
    </row>
    <row r="8" spans="1:2" ht="28.8">
      <c r="A8" s="3" t="s">
        <v>1090</v>
      </c>
      <c r="B8" s="3" t="s">
        <v>1091</v>
      </c>
    </row>
    <row r="9" spans="1:2" ht="28.8">
      <c r="A9" s="3" t="s">
        <v>1092</v>
      </c>
      <c r="B9" s="3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EEAE3C-1EAF-44E9-87D0-2809CF25A6FD}">
  <dimension ref="A2:B21"/>
  <sheetViews>
    <sheetView topLeftCell="A12" zoomScale="92" workbookViewId="0">
      <selection activeCell="B6" sqref="B6"/>
    </sheetView>
  </sheetViews>
  <sheetFormatPr defaultRowHeight="14.4"/>
  <cols>
    <col min="1" max="1" width="16.33203125" bestFit="1" customWidth="1"/>
    <col min="2" max="2" width="21.109375" bestFit="1" customWidth="1"/>
    <col min="3" max="3" width="17.33203125" bestFit="1" customWidth="1"/>
  </cols>
  <sheetData>
    <row r="2" spans="1:2">
      <c r="A2" s="8" t="s">
        <v>1108</v>
      </c>
      <c r="B2" t="s">
        <v>1110</v>
      </c>
    </row>
    <row r="3" spans="1:2">
      <c r="A3" s="9" t="s">
        <v>70</v>
      </c>
      <c r="B3">
        <v>1135</v>
      </c>
    </row>
    <row r="4" spans="1:2">
      <c r="A4" s="9" t="s">
        <v>20</v>
      </c>
      <c r="B4">
        <v>1041</v>
      </c>
    </row>
    <row r="5" spans="1:2">
      <c r="A5" s="9" t="s">
        <v>138</v>
      </c>
      <c r="B5">
        <v>52</v>
      </c>
    </row>
    <row r="6" spans="1:2">
      <c r="A6" s="9" t="s">
        <v>225</v>
      </c>
      <c r="B6">
        <v>25</v>
      </c>
    </row>
    <row r="7" spans="1:2">
      <c r="A7" s="9" t="s">
        <v>203</v>
      </c>
      <c r="B7">
        <v>23</v>
      </c>
    </row>
    <row r="8" spans="1:2">
      <c r="A8" s="9" t="s">
        <v>423</v>
      </c>
      <c r="B8">
        <v>15</v>
      </c>
    </row>
    <row r="9" spans="1:2">
      <c r="A9" s="9" t="s">
        <v>17</v>
      </c>
      <c r="B9">
        <v>13</v>
      </c>
    </row>
    <row r="10" spans="1:2">
      <c r="A10" s="9" t="s">
        <v>219</v>
      </c>
      <c r="B10">
        <v>12</v>
      </c>
    </row>
    <row r="11" spans="1:2">
      <c r="A11" s="9" t="s">
        <v>365</v>
      </c>
      <c r="B11">
        <v>12</v>
      </c>
    </row>
    <row r="12" spans="1:2">
      <c r="A12" s="9" t="s">
        <v>12</v>
      </c>
      <c r="B12">
        <v>11</v>
      </c>
    </row>
    <row r="13" spans="1:2">
      <c r="A13" s="9" t="s">
        <v>232</v>
      </c>
      <c r="B13">
        <v>8</v>
      </c>
    </row>
    <row r="14" spans="1:2">
      <c r="A14" s="9" t="s">
        <v>357</v>
      </c>
      <c r="B14">
        <v>7</v>
      </c>
    </row>
    <row r="15" spans="1:2">
      <c r="A15" s="9" t="s">
        <v>456</v>
      </c>
      <c r="B15">
        <v>2</v>
      </c>
    </row>
    <row r="16" spans="1:2">
      <c r="A16" s="9" t="s">
        <v>459</v>
      </c>
      <c r="B16">
        <v>2</v>
      </c>
    </row>
    <row r="17" spans="1:2">
      <c r="A17" s="9" t="s">
        <v>200</v>
      </c>
      <c r="B17">
        <v>2</v>
      </c>
    </row>
    <row r="18" spans="1:2">
      <c r="A18" s="9" t="s">
        <v>222</v>
      </c>
      <c r="B18">
        <v>2</v>
      </c>
    </row>
    <row r="19" spans="1:2">
      <c r="A19" s="9" t="s">
        <v>416</v>
      </c>
      <c r="B19">
        <v>1</v>
      </c>
    </row>
    <row r="20" spans="1:2">
      <c r="A20" s="9" t="s">
        <v>354</v>
      </c>
      <c r="B20">
        <v>1</v>
      </c>
    </row>
    <row r="21" spans="1:2">
      <c r="A21" s="9" t="s">
        <v>1109</v>
      </c>
      <c r="B21">
        <v>2364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EE16DA-BC78-4533-99DB-46C08BF62237}">
  <dimension ref="A1:M1001"/>
  <sheetViews>
    <sheetView topLeftCell="K1" workbookViewId="0">
      <selection activeCell="M1" sqref="M1:M1048576"/>
    </sheetView>
  </sheetViews>
  <sheetFormatPr defaultRowHeight="14.4"/>
  <cols>
    <col min="1" max="1" width="11.33203125" bestFit="1" customWidth="1"/>
    <col min="2" max="2" width="61.5546875" bestFit="1" customWidth="1"/>
    <col min="3" max="3" width="18.109375" bestFit="1" customWidth="1"/>
    <col min="4" max="4" width="15.5546875" bestFit="1" customWidth="1"/>
    <col min="5" max="5" width="9.44140625" bestFit="1" customWidth="1"/>
    <col min="6" max="7" width="12" bestFit="1" customWidth="1"/>
    <col min="8" max="8" width="16.33203125" customWidth="1"/>
    <col min="9" max="9" width="22.6640625" bestFit="1" customWidth="1"/>
    <col min="10" max="10" width="28.88671875" bestFit="1" customWidth="1"/>
    <col min="11" max="11" width="17.5546875" bestFit="1" customWidth="1"/>
    <col min="12" max="12" width="23.33203125" bestFit="1" customWidth="1"/>
    <col min="13" max="13" width="15.5546875" bestFit="1" customWidth="1"/>
  </cols>
  <sheetData>
    <row r="1" spans="1:13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1093</v>
      </c>
      <c r="L1" s="1" t="s">
        <v>1094</v>
      </c>
      <c r="M1" t="s">
        <v>1118</v>
      </c>
    </row>
    <row r="2" spans="1:13">
      <c r="A2">
        <v>479330</v>
      </c>
      <c r="B2" t="s">
        <v>28</v>
      </c>
      <c r="C2" t="s">
        <v>12</v>
      </c>
      <c r="D2" t="s">
        <v>20</v>
      </c>
      <c r="E2" t="s">
        <v>13</v>
      </c>
      <c r="F2">
        <v>21.0161093</v>
      </c>
      <c r="G2">
        <v>81.702900499999998</v>
      </c>
      <c r="H2">
        <v>600</v>
      </c>
      <c r="I2" t="s">
        <v>14</v>
      </c>
      <c r="J2" t="s">
        <v>12</v>
      </c>
      <c r="K2">
        <f>IF(tbl_ChargingStation[[#This Row],[status]]="Operational",1,0)</f>
        <v>1</v>
      </c>
      <c r="L2">
        <f t="shared" ref="L2:L65" si="0">H2*K2</f>
        <v>600</v>
      </c>
      <c r="M2" t="str">
        <f t="shared" ref="M2:M65" si="1">IF(D2="GJ","Gujarat",IF(OR(D2="Keral",D2="Keraka",D2="Lerala"),"Kerala",IF(D2="MH","Maharashtra",IF(D2="MP","Madhya Pradesh",IF(D2="RJ","Rajasthan",IF(D2="TAMILNADU","Tamil Nadu",IF(D2="Uttarakhnad","Uttarakhand",D2)))))))</f>
        <v>Odisha</v>
      </c>
    </row>
    <row r="3" spans="1:13">
      <c r="A3">
        <v>479230</v>
      </c>
      <c r="B3" t="s">
        <v>28</v>
      </c>
      <c r="C3" t="s">
        <v>12</v>
      </c>
      <c r="D3" t="s">
        <v>20</v>
      </c>
      <c r="E3" t="s">
        <v>13</v>
      </c>
      <c r="F3">
        <v>20.088792399999999</v>
      </c>
      <c r="G3">
        <v>82.362104900000006</v>
      </c>
      <c r="H3">
        <v>11</v>
      </c>
      <c r="I3" t="s">
        <v>14</v>
      </c>
      <c r="J3" t="s">
        <v>12</v>
      </c>
      <c r="K3">
        <f>IF(tbl_ChargingStation[[#This Row],[status]]="Operational",1,0)</f>
        <v>1</v>
      </c>
      <c r="L3">
        <f t="shared" si="0"/>
        <v>11</v>
      </c>
      <c r="M3" t="str">
        <f t="shared" si="1"/>
        <v>Odisha</v>
      </c>
    </row>
    <row r="4" spans="1:13">
      <c r="A4">
        <v>479140</v>
      </c>
      <c r="B4" t="s">
        <v>28</v>
      </c>
      <c r="C4" t="s">
        <v>12</v>
      </c>
      <c r="D4" t="s">
        <v>20</v>
      </c>
      <c r="E4" t="s">
        <v>13</v>
      </c>
      <c r="F4">
        <v>20.088792399999999</v>
      </c>
      <c r="G4">
        <v>82.362104900000006</v>
      </c>
      <c r="H4">
        <v>11</v>
      </c>
      <c r="I4" t="s">
        <v>14</v>
      </c>
      <c r="J4" t="s">
        <v>12</v>
      </c>
      <c r="K4">
        <f>IF(tbl_ChargingStation[[#This Row],[status]]="Operational",1,0)</f>
        <v>1</v>
      </c>
      <c r="L4">
        <f t="shared" si="0"/>
        <v>11</v>
      </c>
      <c r="M4" t="str">
        <f t="shared" si="1"/>
        <v>Odisha</v>
      </c>
    </row>
    <row r="5" spans="1:13">
      <c r="A5">
        <v>313915</v>
      </c>
      <c r="B5" t="s">
        <v>551</v>
      </c>
      <c r="C5" t="s">
        <v>187</v>
      </c>
      <c r="D5" t="s">
        <v>70</v>
      </c>
      <c r="E5" t="s">
        <v>13</v>
      </c>
      <c r="F5">
        <v>8.515262882</v>
      </c>
      <c r="G5">
        <v>76.898158440000003</v>
      </c>
      <c r="H5">
        <v>11</v>
      </c>
      <c r="I5" t="s">
        <v>14</v>
      </c>
      <c r="J5" t="s">
        <v>71</v>
      </c>
      <c r="K5">
        <f>IF(tbl_ChargingStation[[#This Row],[status]]="Operational",1,0)</f>
        <v>1</v>
      </c>
      <c r="L5">
        <f t="shared" si="0"/>
        <v>11</v>
      </c>
      <c r="M5" t="str">
        <f t="shared" si="1"/>
        <v>Kerala</v>
      </c>
    </row>
    <row r="6" spans="1:13">
      <c r="A6">
        <v>313702</v>
      </c>
      <c r="B6" t="s">
        <v>812</v>
      </c>
      <c r="C6" t="s">
        <v>813</v>
      </c>
      <c r="D6" t="s">
        <v>70</v>
      </c>
      <c r="E6" t="s">
        <v>13</v>
      </c>
      <c r="F6">
        <v>10.77974601</v>
      </c>
      <c r="G6">
        <v>76.28528086</v>
      </c>
      <c r="H6">
        <v>9</v>
      </c>
      <c r="I6" t="s">
        <v>14</v>
      </c>
      <c r="J6" t="s">
        <v>174</v>
      </c>
      <c r="K6">
        <f>IF(tbl_ChargingStation[[#This Row],[status]]="Operational",1,0)</f>
        <v>1</v>
      </c>
      <c r="L6">
        <f t="shared" si="0"/>
        <v>9</v>
      </c>
      <c r="M6" t="str">
        <f t="shared" si="1"/>
        <v>Kerala</v>
      </c>
    </row>
    <row r="7" spans="1:13">
      <c r="A7">
        <v>479257</v>
      </c>
      <c r="B7" t="s">
        <v>51</v>
      </c>
      <c r="C7" t="s">
        <v>12</v>
      </c>
      <c r="D7" t="s">
        <v>20</v>
      </c>
      <c r="E7" t="s">
        <v>13</v>
      </c>
      <c r="F7">
        <v>20.253022300000001</v>
      </c>
      <c r="G7">
        <v>85.6869698</v>
      </c>
      <c r="H7">
        <v>7</v>
      </c>
      <c r="I7" t="s">
        <v>14</v>
      </c>
      <c r="J7" t="s">
        <v>12</v>
      </c>
      <c r="K7">
        <f>IF(tbl_ChargingStation[[#This Row],[status]]="Operational",1,0)</f>
        <v>1</v>
      </c>
      <c r="L7">
        <f t="shared" si="0"/>
        <v>7</v>
      </c>
      <c r="M7" t="str">
        <f t="shared" si="1"/>
        <v>Odisha</v>
      </c>
    </row>
    <row r="8" spans="1:13">
      <c r="A8">
        <v>475660</v>
      </c>
      <c r="B8" t="s">
        <v>224</v>
      </c>
      <c r="C8" t="s">
        <v>12</v>
      </c>
      <c r="D8" t="s">
        <v>225</v>
      </c>
      <c r="E8" t="s">
        <v>13</v>
      </c>
      <c r="F8">
        <v>26.336942459999999</v>
      </c>
      <c r="G8">
        <v>79.370072550000003</v>
      </c>
      <c r="H8">
        <v>7</v>
      </c>
      <c r="I8" t="s">
        <v>14</v>
      </c>
      <c r="J8" t="s">
        <v>207</v>
      </c>
      <c r="K8">
        <f>IF(tbl_ChargingStation[[#This Row],[status]]="Operational",1,0)</f>
        <v>1</v>
      </c>
      <c r="L8">
        <f t="shared" si="0"/>
        <v>7</v>
      </c>
      <c r="M8" t="str">
        <f t="shared" si="1"/>
        <v>Uttar Pradesh</v>
      </c>
    </row>
    <row r="9" spans="1:13">
      <c r="A9">
        <v>313861</v>
      </c>
      <c r="B9" t="s">
        <v>639</v>
      </c>
      <c r="C9" t="s">
        <v>640</v>
      </c>
      <c r="D9" t="s">
        <v>70</v>
      </c>
      <c r="E9" t="s">
        <v>13</v>
      </c>
      <c r="F9">
        <v>10.03211451</v>
      </c>
      <c r="G9">
        <v>76.322960460000004</v>
      </c>
      <c r="H9">
        <v>7</v>
      </c>
      <c r="I9" t="s">
        <v>14</v>
      </c>
      <c r="J9" t="s">
        <v>71</v>
      </c>
      <c r="K9">
        <f>IF(tbl_ChargingStation[[#This Row],[status]]="Operational",1,0)</f>
        <v>1</v>
      </c>
      <c r="L9">
        <f t="shared" si="0"/>
        <v>7</v>
      </c>
      <c r="M9" t="str">
        <f t="shared" si="1"/>
        <v>Kerala</v>
      </c>
    </row>
    <row r="10" spans="1:13">
      <c r="A10">
        <v>313754</v>
      </c>
      <c r="B10" t="s">
        <v>733</v>
      </c>
      <c r="C10" t="s">
        <v>734</v>
      </c>
      <c r="D10" t="s">
        <v>70</v>
      </c>
      <c r="E10" t="s">
        <v>13</v>
      </c>
      <c r="F10">
        <v>12.342505490000001</v>
      </c>
      <c r="G10">
        <v>75.112663670000003</v>
      </c>
      <c r="H10">
        <v>7</v>
      </c>
      <c r="I10" t="s">
        <v>14</v>
      </c>
      <c r="J10" t="s">
        <v>174</v>
      </c>
      <c r="K10">
        <f>IF(tbl_ChargingStation[[#This Row],[status]]="Operational",1,0)</f>
        <v>1</v>
      </c>
      <c r="L10">
        <f t="shared" si="0"/>
        <v>7</v>
      </c>
      <c r="M10" t="str">
        <f t="shared" si="1"/>
        <v>Kerala</v>
      </c>
    </row>
    <row r="11" spans="1:13">
      <c r="A11">
        <v>313574</v>
      </c>
      <c r="B11" t="s">
        <v>962</v>
      </c>
      <c r="C11" t="s">
        <v>961</v>
      </c>
      <c r="D11" t="s">
        <v>70</v>
      </c>
      <c r="E11" t="s">
        <v>13</v>
      </c>
      <c r="F11">
        <v>9.315750049</v>
      </c>
      <c r="G11">
        <v>76.401221199999995</v>
      </c>
      <c r="H11">
        <v>7</v>
      </c>
      <c r="I11" t="s">
        <v>14</v>
      </c>
      <c r="J11" t="s">
        <v>174</v>
      </c>
      <c r="K11">
        <f>IF(tbl_ChargingStation[[#This Row],[status]]="Operational",1,0)</f>
        <v>1</v>
      </c>
      <c r="L11">
        <f t="shared" si="0"/>
        <v>7</v>
      </c>
      <c r="M11" t="str">
        <f t="shared" si="1"/>
        <v>Kerala</v>
      </c>
    </row>
    <row r="12" spans="1:13">
      <c r="A12">
        <v>475659</v>
      </c>
      <c r="B12" t="s">
        <v>226</v>
      </c>
      <c r="C12" t="s">
        <v>12</v>
      </c>
      <c r="D12" t="s">
        <v>225</v>
      </c>
      <c r="E12" t="s">
        <v>13</v>
      </c>
      <c r="F12">
        <v>25.252444560000001</v>
      </c>
      <c r="G12">
        <v>80.743644189999998</v>
      </c>
      <c r="H12">
        <v>6</v>
      </c>
      <c r="I12" t="s">
        <v>14</v>
      </c>
      <c r="J12" t="s">
        <v>207</v>
      </c>
      <c r="K12">
        <f>IF(tbl_ChargingStation[[#This Row],[status]]="Operational",1,0)</f>
        <v>1</v>
      </c>
      <c r="L12">
        <f t="shared" si="0"/>
        <v>6</v>
      </c>
      <c r="M12" t="str">
        <f t="shared" si="1"/>
        <v>Uttar Pradesh</v>
      </c>
    </row>
    <row r="13" spans="1:13">
      <c r="A13">
        <v>475512</v>
      </c>
      <c r="B13" t="s">
        <v>229</v>
      </c>
      <c r="C13" t="s">
        <v>12</v>
      </c>
      <c r="D13" t="s">
        <v>17</v>
      </c>
      <c r="E13" t="s">
        <v>13</v>
      </c>
      <c r="F13">
        <v>15.88633415</v>
      </c>
      <c r="G13">
        <v>78.016366390000002</v>
      </c>
      <c r="H13">
        <v>6</v>
      </c>
      <c r="I13" t="s">
        <v>14</v>
      </c>
      <c r="J13" t="s">
        <v>139</v>
      </c>
      <c r="K13">
        <f>IF(tbl_ChargingStation[[#This Row],[status]]="Operational",1,0)</f>
        <v>1</v>
      </c>
      <c r="L13">
        <f t="shared" si="0"/>
        <v>6</v>
      </c>
      <c r="M13" t="str">
        <f t="shared" si="1"/>
        <v>Telangana</v>
      </c>
    </row>
    <row r="14" spans="1:13">
      <c r="A14">
        <v>471003</v>
      </c>
      <c r="B14" t="s">
        <v>399</v>
      </c>
      <c r="C14" t="s">
        <v>316</v>
      </c>
      <c r="D14" t="s">
        <v>70</v>
      </c>
      <c r="E14" t="s">
        <v>13</v>
      </c>
      <c r="F14">
        <v>9.4374421720000008</v>
      </c>
      <c r="G14">
        <v>76.542009199999995</v>
      </c>
      <c r="H14">
        <v>6</v>
      </c>
      <c r="I14" t="s">
        <v>14</v>
      </c>
      <c r="J14" t="s">
        <v>12</v>
      </c>
      <c r="K14">
        <f>IF(tbl_ChargingStation[[#This Row],[status]]="Operational",1,0)</f>
        <v>1</v>
      </c>
      <c r="L14">
        <f t="shared" si="0"/>
        <v>6</v>
      </c>
      <c r="M14" t="str">
        <f t="shared" si="1"/>
        <v>Kerala</v>
      </c>
    </row>
    <row r="15" spans="1:13">
      <c r="A15">
        <v>313914</v>
      </c>
      <c r="B15" t="s">
        <v>552</v>
      </c>
      <c r="C15" t="s">
        <v>187</v>
      </c>
      <c r="D15" t="s">
        <v>70</v>
      </c>
      <c r="E15" t="s">
        <v>13</v>
      </c>
      <c r="F15">
        <v>8.5399930479999995</v>
      </c>
      <c r="G15">
        <v>76.884424999999993</v>
      </c>
      <c r="H15">
        <v>6</v>
      </c>
      <c r="I15" t="s">
        <v>14</v>
      </c>
      <c r="J15" t="s">
        <v>71</v>
      </c>
      <c r="K15">
        <f>IF(tbl_ChargingStation[[#This Row],[status]]="Operational",1,0)</f>
        <v>1</v>
      </c>
      <c r="L15">
        <f t="shared" si="0"/>
        <v>6</v>
      </c>
      <c r="M15" t="str">
        <f t="shared" si="1"/>
        <v>Kerala</v>
      </c>
    </row>
    <row r="16" spans="1:13">
      <c r="A16">
        <v>313749</v>
      </c>
      <c r="B16" t="s">
        <v>742</v>
      </c>
      <c r="C16" t="s">
        <v>538</v>
      </c>
      <c r="D16" t="s">
        <v>70</v>
      </c>
      <c r="E16" t="s">
        <v>13</v>
      </c>
      <c r="F16">
        <v>11.87836828</v>
      </c>
      <c r="G16">
        <v>75.359526149999994</v>
      </c>
      <c r="H16">
        <v>6</v>
      </c>
      <c r="I16" t="s">
        <v>14</v>
      </c>
      <c r="J16" t="s">
        <v>174</v>
      </c>
      <c r="K16">
        <f>IF(tbl_ChargingStation[[#This Row],[status]]="Operational",1,0)</f>
        <v>1</v>
      </c>
      <c r="L16">
        <f t="shared" si="0"/>
        <v>6</v>
      </c>
      <c r="M16" t="str">
        <f t="shared" si="1"/>
        <v>Kerala</v>
      </c>
    </row>
    <row r="17" spans="1:13">
      <c r="A17">
        <v>313743</v>
      </c>
      <c r="B17" t="s">
        <v>751</v>
      </c>
      <c r="C17" t="s">
        <v>528</v>
      </c>
      <c r="D17" t="s">
        <v>70</v>
      </c>
      <c r="E17" t="s">
        <v>13</v>
      </c>
      <c r="F17">
        <v>11.67292398</v>
      </c>
      <c r="G17">
        <v>75.957305809999994</v>
      </c>
      <c r="H17">
        <v>6</v>
      </c>
      <c r="I17" t="s">
        <v>14</v>
      </c>
      <c r="J17" t="s">
        <v>174</v>
      </c>
      <c r="K17">
        <f>IF(tbl_ChargingStation[[#This Row],[status]]="Operational",1,0)</f>
        <v>1</v>
      </c>
      <c r="L17">
        <f t="shared" si="0"/>
        <v>6</v>
      </c>
      <c r="M17" t="str">
        <f t="shared" si="1"/>
        <v>Kerala</v>
      </c>
    </row>
    <row r="18" spans="1:13">
      <c r="A18">
        <v>313737</v>
      </c>
      <c r="B18" t="s">
        <v>759</v>
      </c>
      <c r="C18" t="s">
        <v>760</v>
      </c>
      <c r="D18" t="s">
        <v>70</v>
      </c>
      <c r="E18" t="s">
        <v>13</v>
      </c>
      <c r="F18">
        <v>11.54575372</v>
      </c>
      <c r="G18">
        <v>76.039371930000001</v>
      </c>
      <c r="H18">
        <v>6</v>
      </c>
      <c r="I18" t="s">
        <v>14</v>
      </c>
      <c r="J18" t="s">
        <v>174</v>
      </c>
      <c r="K18">
        <f>IF(tbl_ChargingStation[[#This Row],[status]]="Operational",1,0)</f>
        <v>1</v>
      </c>
      <c r="L18">
        <f t="shared" si="0"/>
        <v>6</v>
      </c>
      <c r="M18" t="str">
        <f t="shared" si="1"/>
        <v>Kerala</v>
      </c>
    </row>
    <row r="19" spans="1:13">
      <c r="A19">
        <v>313736</v>
      </c>
      <c r="B19" t="s">
        <v>761</v>
      </c>
      <c r="C19" t="s">
        <v>720</v>
      </c>
      <c r="D19" t="s">
        <v>70</v>
      </c>
      <c r="E19" t="s">
        <v>13</v>
      </c>
      <c r="F19">
        <v>11.44408743</v>
      </c>
      <c r="G19">
        <v>75.955876910000001</v>
      </c>
      <c r="H19">
        <v>6</v>
      </c>
      <c r="I19" t="s">
        <v>14</v>
      </c>
      <c r="J19" t="s">
        <v>174</v>
      </c>
      <c r="K19">
        <f>IF(tbl_ChargingStation[[#This Row],[status]]="Operational",1,0)</f>
        <v>1</v>
      </c>
      <c r="L19">
        <f t="shared" si="0"/>
        <v>6</v>
      </c>
      <c r="M19" t="str">
        <f t="shared" si="1"/>
        <v>Kerala</v>
      </c>
    </row>
    <row r="20" spans="1:13">
      <c r="A20">
        <v>313735</v>
      </c>
      <c r="B20" t="s">
        <v>762</v>
      </c>
      <c r="C20" t="s">
        <v>763</v>
      </c>
      <c r="D20" t="s">
        <v>70</v>
      </c>
      <c r="E20" t="s">
        <v>13</v>
      </c>
      <c r="F20">
        <v>11.339683839999999</v>
      </c>
      <c r="G20">
        <v>75.898715690000003</v>
      </c>
      <c r="H20">
        <v>6</v>
      </c>
      <c r="I20" t="s">
        <v>14</v>
      </c>
      <c r="J20" t="s">
        <v>174</v>
      </c>
      <c r="K20">
        <f>IF(tbl_ChargingStation[[#This Row],[status]]="Operational",1,0)</f>
        <v>1</v>
      </c>
      <c r="L20">
        <f t="shared" si="0"/>
        <v>6</v>
      </c>
      <c r="M20" t="str">
        <f t="shared" si="1"/>
        <v>Kerala</v>
      </c>
    </row>
    <row r="21" spans="1:13">
      <c r="A21">
        <v>313727</v>
      </c>
      <c r="B21" t="s">
        <v>773</v>
      </c>
      <c r="C21" t="s">
        <v>774</v>
      </c>
      <c r="D21" t="s">
        <v>70</v>
      </c>
      <c r="E21" t="s">
        <v>13</v>
      </c>
      <c r="F21">
        <v>11.312411620000001</v>
      </c>
      <c r="G21">
        <v>75.75859063</v>
      </c>
      <c r="H21">
        <v>6</v>
      </c>
      <c r="I21" t="s">
        <v>14</v>
      </c>
      <c r="J21" t="s">
        <v>174</v>
      </c>
      <c r="K21">
        <f>IF(tbl_ChargingStation[[#This Row],[status]]="Operational",1,0)</f>
        <v>1</v>
      </c>
      <c r="L21">
        <f t="shared" si="0"/>
        <v>6</v>
      </c>
      <c r="M21" t="str">
        <f t="shared" si="1"/>
        <v>Kerala</v>
      </c>
    </row>
    <row r="22" spans="1:13">
      <c r="A22">
        <v>313716</v>
      </c>
      <c r="B22" t="s">
        <v>791</v>
      </c>
      <c r="C22" t="s">
        <v>792</v>
      </c>
      <c r="D22" t="s">
        <v>70</v>
      </c>
      <c r="E22" t="s">
        <v>13</v>
      </c>
      <c r="F22">
        <v>11.054224530000001</v>
      </c>
      <c r="G22">
        <v>76.092143019999995</v>
      </c>
      <c r="H22">
        <v>6</v>
      </c>
      <c r="I22" t="s">
        <v>14</v>
      </c>
      <c r="J22" t="s">
        <v>174</v>
      </c>
      <c r="K22">
        <f>IF(tbl_ChargingStation[[#This Row],[status]]="Operational",1,0)</f>
        <v>1</v>
      </c>
      <c r="L22">
        <f t="shared" si="0"/>
        <v>6</v>
      </c>
      <c r="M22" t="str">
        <f t="shared" si="1"/>
        <v>Kerala</v>
      </c>
    </row>
    <row r="23" spans="1:13">
      <c r="A23">
        <v>313694</v>
      </c>
      <c r="B23" t="s">
        <v>824</v>
      </c>
      <c r="C23" t="s">
        <v>825</v>
      </c>
      <c r="D23" t="s">
        <v>70</v>
      </c>
      <c r="E23" t="s">
        <v>13</v>
      </c>
      <c r="F23">
        <v>10.77270263</v>
      </c>
      <c r="G23">
        <v>75.947151500000004</v>
      </c>
      <c r="H23">
        <v>6</v>
      </c>
      <c r="I23" t="s">
        <v>14</v>
      </c>
      <c r="J23" t="s">
        <v>174</v>
      </c>
      <c r="K23">
        <f>IF(tbl_ChargingStation[[#This Row],[status]]="Operational",1,0)</f>
        <v>1</v>
      </c>
      <c r="L23">
        <f t="shared" si="0"/>
        <v>6</v>
      </c>
      <c r="M23" t="str">
        <f t="shared" si="1"/>
        <v>Kerala</v>
      </c>
    </row>
    <row r="24" spans="1:13">
      <c r="A24">
        <v>313682</v>
      </c>
      <c r="B24" t="s">
        <v>833</v>
      </c>
      <c r="C24" t="s">
        <v>169</v>
      </c>
      <c r="D24" t="s">
        <v>70</v>
      </c>
      <c r="E24" t="s">
        <v>13</v>
      </c>
      <c r="F24">
        <v>10.52779471</v>
      </c>
      <c r="G24">
        <v>76.205343850000006</v>
      </c>
      <c r="H24">
        <v>6</v>
      </c>
      <c r="I24" t="s">
        <v>14</v>
      </c>
      <c r="J24" t="s">
        <v>174</v>
      </c>
      <c r="K24">
        <f>IF(tbl_ChargingStation[[#This Row],[status]]="Operational",1,0)</f>
        <v>1</v>
      </c>
      <c r="L24">
        <f t="shared" si="0"/>
        <v>6</v>
      </c>
      <c r="M24" t="str">
        <f t="shared" si="1"/>
        <v>Kerala</v>
      </c>
    </row>
    <row r="25" spans="1:13">
      <c r="A25">
        <v>313673</v>
      </c>
      <c r="B25" t="s">
        <v>843</v>
      </c>
      <c r="C25" t="s">
        <v>844</v>
      </c>
      <c r="D25" t="s">
        <v>70</v>
      </c>
      <c r="E25" t="s">
        <v>13</v>
      </c>
      <c r="F25">
        <v>10.40173221</v>
      </c>
      <c r="G25">
        <v>76.119335120000002</v>
      </c>
      <c r="H25">
        <v>6</v>
      </c>
      <c r="I25" t="s">
        <v>14</v>
      </c>
      <c r="J25" t="s">
        <v>174</v>
      </c>
      <c r="K25">
        <f>IF(tbl_ChargingStation[[#This Row],[status]]="Operational",1,0)</f>
        <v>1</v>
      </c>
      <c r="L25">
        <f t="shared" si="0"/>
        <v>6</v>
      </c>
      <c r="M25" t="str">
        <f t="shared" si="1"/>
        <v>Kerala</v>
      </c>
    </row>
    <row r="26" spans="1:13">
      <c r="A26">
        <v>313667</v>
      </c>
      <c r="B26" t="s">
        <v>852</v>
      </c>
      <c r="C26" t="s">
        <v>276</v>
      </c>
      <c r="D26" t="s">
        <v>70</v>
      </c>
      <c r="E26" t="s">
        <v>13</v>
      </c>
      <c r="F26">
        <v>10.597238170000001</v>
      </c>
      <c r="G26">
        <v>76.479849369999997</v>
      </c>
      <c r="H26">
        <v>6</v>
      </c>
      <c r="I26" t="s">
        <v>14</v>
      </c>
      <c r="J26" t="s">
        <v>174</v>
      </c>
      <c r="K26">
        <f>IF(tbl_ChargingStation[[#This Row],[status]]="Operational",1,0)</f>
        <v>1</v>
      </c>
      <c r="L26">
        <f t="shared" si="0"/>
        <v>6</v>
      </c>
      <c r="M26" t="str">
        <f t="shared" si="1"/>
        <v>Kerala</v>
      </c>
    </row>
    <row r="27" spans="1:13">
      <c r="A27">
        <v>313646</v>
      </c>
      <c r="B27" t="s">
        <v>869</v>
      </c>
      <c r="C27" t="s">
        <v>478</v>
      </c>
      <c r="D27" t="s">
        <v>70</v>
      </c>
      <c r="E27" t="s">
        <v>13</v>
      </c>
      <c r="F27">
        <v>10.1695516</v>
      </c>
      <c r="G27">
        <v>76.372255609999996</v>
      </c>
      <c r="H27">
        <v>6</v>
      </c>
      <c r="I27" t="s">
        <v>14</v>
      </c>
      <c r="J27" t="s">
        <v>174</v>
      </c>
      <c r="K27">
        <f>IF(tbl_ChargingStation[[#This Row],[status]]="Operational",1,0)</f>
        <v>1</v>
      </c>
      <c r="L27">
        <f t="shared" si="0"/>
        <v>6</v>
      </c>
      <c r="M27" t="str">
        <f t="shared" si="1"/>
        <v>Kerala</v>
      </c>
    </row>
    <row r="28" spans="1:13">
      <c r="A28">
        <v>313635</v>
      </c>
      <c r="B28" t="s">
        <v>883</v>
      </c>
      <c r="C28" t="s">
        <v>882</v>
      </c>
      <c r="D28" t="s">
        <v>70</v>
      </c>
      <c r="E28" t="s">
        <v>13</v>
      </c>
      <c r="F28">
        <v>10.053770030000001</v>
      </c>
      <c r="G28">
        <v>76.33086763</v>
      </c>
      <c r="H28">
        <v>6</v>
      </c>
      <c r="I28" t="s">
        <v>14</v>
      </c>
      <c r="J28" t="s">
        <v>174</v>
      </c>
      <c r="K28">
        <f>IF(tbl_ChargingStation[[#This Row],[status]]="Operational",1,0)</f>
        <v>1</v>
      </c>
      <c r="L28">
        <f t="shared" si="0"/>
        <v>6</v>
      </c>
      <c r="M28" t="str">
        <f t="shared" si="1"/>
        <v>Kerala</v>
      </c>
    </row>
    <row r="29" spans="1:13">
      <c r="A29">
        <v>313632</v>
      </c>
      <c r="B29" t="s">
        <v>886</v>
      </c>
      <c r="C29" t="s">
        <v>887</v>
      </c>
      <c r="D29" t="s">
        <v>70</v>
      </c>
      <c r="E29" t="s">
        <v>13</v>
      </c>
      <c r="F29">
        <v>10.000241040000001</v>
      </c>
      <c r="G29">
        <v>76.298429819999996</v>
      </c>
      <c r="H29">
        <v>6</v>
      </c>
      <c r="I29" t="s">
        <v>14</v>
      </c>
      <c r="J29" t="s">
        <v>174</v>
      </c>
      <c r="K29">
        <f>IF(tbl_ChargingStation[[#This Row],[status]]="Operational",1,0)</f>
        <v>1</v>
      </c>
      <c r="L29">
        <f t="shared" si="0"/>
        <v>6</v>
      </c>
      <c r="M29" t="str">
        <f t="shared" si="1"/>
        <v>Kerala</v>
      </c>
    </row>
    <row r="30" spans="1:13">
      <c r="A30">
        <v>313631</v>
      </c>
      <c r="B30" t="s">
        <v>888</v>
      </c>
      <c r="C30" t="s">
        <v>183</v>
      </c>
      <c r="D30" t="s">
        <v>70</v>
      </c>
      <c r="E30" t="s">
        <v>13</v>
      </c>
      <c r="F30">
        <v>9.9741925299999998</v>
      </c>
      <c r="G30">
        <v>76.293681699999993</v>
      </c>
      <c r="H30">
        <v>6</v>
      </c>
      <c r="I30" t="s">
        <v>14</v>
      </c>
      <c r="J30" t="s">
        <v>174</v>
      </c>
      <c r="K30">
        <f>IF(tbl_ChargingStation[[#This Row],[status]]="Operational",1,0)</f>
        <v>1</v>
      </c>
      <c r="L30">
        <f t="shared" si="0"/>
        <v>6</v>
      </c>
      <c r="M30" t="str">
        <f t="shared" si="1"/>
        <v>Kerala</v>
      </c>
    </row>
    <row r="31" spans="1:13">
      <c r="A31">
        <v>313627</v>
      </c>
      <c r="B31" t="s">
        <v>893</v>
      </c>
      <c r="C31" t="s">
        <v>288</v>
      </c>
      <c r="D31" t="s">
        <v>711</v>
      </c>
      <c r="E31" t="s">
        <v>13</v>
      </c>
      <c r="F31">
        <v>9.9629019630000002</v>
      </c>
      <c r="G31">
        <v>76.319220709999996</v>
      </c>
      <c r="H31">
        <v>6</v>
      </c>
      <c r="I31" t="s">
        <v>14</v>
      </c>
      <c r="J31" t="s">
        <v>174</v>
      </c>
      <c r="K31">
        <f>IF(tbl_ChargingStation[[#This Row],[status]]="Operational",1,0)</f>
        <v>1</v>
      </c>
      <c r="L31">
        <f t="shared" si="0"/>
        <v>6</v>
      </c>
      <c r="M31" t="str">
        <f t="shared" si="1"/>
        <v>Kerala</v>
      </c>
    </row>
    <row r="32" spans="1:13">
      <c r="A32">
        <v>313615</v>
      </c>
      <c r="B32" t="s">
        <v>907</v>
      </c>
      <c r="C32" t="s">
        <v>88</v>
      </c>
      <c r="D32" t="s">
        <v>70</v>
      </c>
      <c r="E32" t="s">
        <v>13</v>
      </c>
      <c r="F32">
        <v>10.05398054</v>
      </c>
      <c r="G32">
        <v>76.615384199999994</v>
      </c>
      <c r="H32">
        <v>6</v>
      </c>
      <c r="I32" t="s">
        <v>14</v>
      </c>
      <c r="J32" t="s">
        <v>174</v>
      </c>
      <c r="K32">
        <f>IF(tbl_ChargingStation[[#This Row],[status]]="Operational",1,0)</f>
        <v>1</v>
      </c>
      <c r="L32">
        <f t="shared" si="0"/>
        <v>6</v>
      </c>
      <c r="M32" t="str">
        <f t="shared" si="1"/>
        <v>Kerala</v>
      </c>
    </row>
    <row r="33" spans="1:13">
      <c r="A33">
        <v>313609</v>
      </c>
      <c r="B33" t="s">
        <v>916</v>
      </c>
      <c r="C33" t="s">
        <v>914</v>
      </c>
      <c r="D33" t="s">
        <v>70</v>
      </c>
      <c r="E33" t="s">
        <v>13</v>
      </c>
      <c r="F33">
        <v>9.8921234719999998</v>
      </c>
      <c r="G33">
        <v>76.708530530000004</v>
      </c>
      <c r="H33">
        <v>6</v>
      </c>
      <c r="I33" t="s">
        <v>14</v>
      </c>
      <c r="J33" t="s">
        <v>174</v>
      </c>
      <c r="K33">
        <f>IF(tbl_ChargingStation[[#This Row],[status]]="Operational",1,0)</f>
        <v>1</v>
      </c>
      <c r="L33">
        <f t="shared" si="0"/>
        <v>6</v>
      </c>
      <c r="M33" t="str">
        <f t="shared" si="1"/>
        <v>Kerala</v>
      </c>
    </row>
    <row r="34" spans="1:13">
      <c r="A34">
        <v>313594</v>
      </c>
      <c r="B34" t="s">
        <v>935</v>
      </c>
      <c r="C34" t="s">
        <v>936</v>
      </c>
      <c r="D34" t="s">
        <v>70</v>
      </c>
      <c r="E34" t="s">
        <v>13</v>
      </c>
      <c r="F34">
        <v>9.7891702219999992</v>
      </c>
      <c r="G34">
        <v>76.853856890000003</v>
      </c>
      <c r="H34">
        <v>6</v>
      </c>
      <c r="I34" t="s">
        <v>14</v>
      </c>
      <c r="J34" t="s">
        <v>174</v>
      </c>
      <c r="K34">
        <f>IF(tbl_ChargingStation[[#This Row],[status]]="Operational",1,0)</f>
        <v>1</v>
      </c>
      <c r="L34">
        <f t="shared" si="0"/>
        <v>6</v>
      </c>
      <c r="M34" t="str">
        <f t="shared" si="1"/>
        <v>Kerala</v>
      </c>
    </row>
    <row r="35" spans="1:13">
      <c r="A35">
        <v>313584</v>
      </c>
      <c r="B35" t="s">
        <v>947</v>
      </c>
      <c r="C35" t="s">
        <v>948</v>
      </c>
      <c r="D35" t="s">
        <v>70</v>
      </c>
      <c r="E35" t="s">
        <v>13</v>
      </c>
      <c r="F35">
        <v>9.5430649069999998</v>
      </c>
      <c r="G35">
        <v>76.514231330000001</v>
      </c>
      <c r="H35">
        <v>6</v>
      </c>
      <c r="I35" t="s">
        <v>14</v>
      </c>
      <c r="J35" t="s">
        <v>174</v>
      </c>
      <c r="K35">
        <f>IF(tbl_ChargingStation[[#This Row],[status]]="Operational",1,0)</f>
        <v>1</v>
      </c>
      <c r="L35">
        <f t="shared" si="0"/>
        <v>6</v>
      </c>
      <c r="M35" t="str">
        <f t="shared" si="1"/>
        <v>Kerala</v>
      </c>
    </row>
    <row r="36" spans="1:13">
      <c r="A36">
        <v>313567</v>
      </c>
      <c r="B36" t="s">
        <v>964</v>
      </c>
      <c r="C36" t="s">
        <v>965</v>
      </c>
      <c r="D36" t="s">
        <v>70</v>
      </c>
      <c r="E36" t="s">
        <v>13</v>
      </c>
      <c r="F36">
        <v>9.4123781189999995</v>
      </c>
      <c r="G36">
        <v>77.069968560000007</v>
      </c>
      <c r="H36">
        <v>6</v>
      </c>
      <c r="I36" t="s">
        <v>14</v>
      </c>
      <c r="J36" t="s">
        <v>174</v>
      </c>
      <c r="K36">
        <f>IF(tbl_ChargingStation[[#This Row],[status]]="Operational",1,0)</f>
        <v>1</v>
      </c>
      <c r="L36">
        <f t="shared" si="0"/>
        <v>6</v>
      </c>
      <c r="M36" t="str">
        <f t="shared" si="1"/>
        <v>Kerala</v>
      </c>
    </row>
    <row r="37" spans="1:13">
      <c r="A37">
        <v>313539</v>
      </c>
      <c r="B37" t="s">
        <v>988</v>
      </c>
      <c r="C37" t="s">
        <v>566</v>
      </c>
      <c r="D37" t="s">
        <v>70</v>
      </c>
      <c r="E37" t="s">
        <v>13</v>
      </c>
      <c r="F37">
        <v>8.9571858580000008</v>
      </c>
      <c r="G37">
        <v>76.671336530000005</v>
      </c>
      <c r="H37">
        <v>6</v>
      </c>
      <c r="I37" t="s">
        <v>14</v>
      </c>
      <c r="J37" t="s">
        <v>174</v>
      </c>
      <c r="K37">
        <f>IF(tbl_ChargingStation[[#This Row],[status]]="Operational",1,0)</f>
        <v>1</v>
      </c>
      <c r="L37">
        <f t="shared" si="0"/>
        <v>6</v>
      </c>
      <c r="M37" t="str">
        <f t="shared" si="1"/>
        <v>Kerala</v>
      </c>
    </row>
    <row r="38" spans="1:13">
      <c r="A38">
        <v>313533</v>
      </c>
      <c r="B38" t="s">
        <v>996</v>
      </c>
      <c r="C38" t="s">
        <v>997</v>
      </c>
      <c r="D38" t="s">
        <v>70</v>
      </c>
      <c r="E38" t="s">
        <v>13</v>
      </c>
      <c r="F38">
        <v>8.8663700950000006</v>
      </c>
      <c r="G38">
        <v>76.668877809999998</v>
      </c>
      <c r="H38">
        <v>6</v>
      </c>
      <c r="I38" t="s">
        <v>425</v>
      </c>
      <c r="J38" t="s">
        <v>174</v>
      </c>
      <c r="K38">
        <f>IF(tbl_ChargingStation[[#This Row],[status]]="Operational",1,0)</f>
        <v>0</v>
      </c>
      <c r="L38">
        <f t="shared" si="0"/>
        <v>0</v>
      </c>
      <c r="M38" t="str">
        <f t="shared" si="1"/>
        <v>Kerala</v>
      </c>
    </row>
    <row r="39" spans="1:13">
      <c r="A39">
        <v>313532</v>
      </c>
      <c r="B39" t="s">
        <v>998</v>
      </c>
      <c r="C39" t="s">
        <v>557</v>
      </c>
      <c r="D39" t="s">
        <v>70</v>
      </c>
      <c r="E39" t="s">
        <v>13</v>
      </c>
      <c r="F39">
        <v>8.6909877640000008</v>
      </c>
      <c r="G39">
        <v>76.848397790000007</v>
      </c>
      <c r="H39">
        <v>6</v>
      </c>
      <c r="I39" t="s">
        <v>14</v>
      </c>
      <c r="J39" t="s">
        <v>174</v>
      </c>
      <c r="K39">
        <f>IF(tbl_ChargingStation[[#This Row],[status]]="Operational",1,0)</f>
        <v>1</v>
      </c>
      <c r="L39">
        <f t="shared" si="0"/>
        <v>6</v>
      </c>
      <c r="M39" t="str">
        <f t="shared" si="1"/>
        <v>Kerala</v>
      </c>
    </row>
    <row r="40" spans="1:13">
      <c r="A40">
        <v>313531</v>
      </c>
      <c r="B40" t="s">
        <v>999</v>
      </c>
      <c r="C40" t="s">
        <v>1000</v>
      </c>
      <c r="D40" t="s">
        <v>70</v>
      </c>
      <c r="E40" t="s">
        <v>13</v>
      </c>
      <c r="F40">
        <v>8.5349338410000009</v>
      </c>
      <c r="G40">
        <v>76.941984259999998</v>
      </c>
      <c r="H40">
        <v>6</v>
      </c>
      <c r="I40" t="s">
        <v>14</v>
      </c>
      <c r="J40" t="s">
        <v>174</v>
      </c>
      <c r="K40">
        <f>IF(tbl_ChargingStation[[#This Row],[status]]="Operational",1,0)</f>
        <v>1</v>
      </c>
      <c r="L40">
        <f t="shared" si="0"/>
        <v>6</v>
      </c>
      <c r="M40" t="str">
        <f t="shared" si="1"/>
        <v>Kerala</v>
      </c>
    </row>
    <row r="41" spans="1:13">
      <c r="A41">
        <v>313530</v>
      </c>
      <c r="B41" t="s">
        <v>1001</v>
      </c>
      <c r="C41" t="s">
        <v>1002</v>
      </c>
      <c r="D41" t="s">
        <v>70</v>
      </c>
      <c r="E41" t="s">
        <v>13</v>
      </c>
      <c r="F41">
        <v>8.5167535270000005</v>
      </c>
      <c r="G41">
        <v>76.939688180000005</v>
      </c>
      <c r="H41">
        <v>6</v>
      </c>
      <c r="I41" t="s">
        <v>14</v>
      </c>
      <c r="J41" t="s">
        <v>174</v>
      </c>
      <c r="K41">
        <f>IF(tbl_ChargingStation[[#This Row],[status]]="Operational",1,0)</f>
        <v>1</v>
      </c>
      <c r="L41">
        <f t="shared" si="0"/>
        <v>6</v>
      </c>
      <c r="M41" t="str">
        <f t="shared" si="1"/>
        <v>Kerala</v>
      </c>
    </row>
    <row r="42" spans="1:13">
      <c r="A42">
        <v>479280</v>
      </c>
      <c r="B42" t="s">
        <v>34</v>
      </c>
      <c r="C42" t="s">
        <v>12</v>
      </c>
      <c r="D42" t="s">
        <v>20</v>
      </c>
      <c r="E42" t="s">
        <v>13</v>
      </c>
      <c r="F42">
        <v>20.357017899999999</v>
      </c>
      <c r="G42">
        <v>85.888820300000006</v>
      </c>
      <c r="H42">
        <v>5</v>
      </c>
      <c r="I42" t="s">
        <v>14</v>
      </c>
      <c r="J42" t="s">
        <v>12</v>
      </c>
      <c r="K42">
        <f>IF(tbl_ChargingStation[[#This Row],[status]]="Operational",1,0)</f>
        <v>1</v>
      </c>
      <c r="L42">
        <f t="shared" si="0"/>
        <v>5</v>
      </c>
      <c r="M42" t="str">
        <f t="shared" si="1"/>
        <v>Odisha</v>
      </c>
    </row>
    <row r="43" spans="1:13">
      <c r="A43">
        <v>478890</v>
      </c>
      <c r="B43" t="s">
        <v>124</v>
      </c>
      <c r="C43" t="s">
        <v>125</v>
      </c>
      <c r="D43" t="s">
        <v>70</v>
      </c>
      <c r="E43" t="s">
        <v>13</v>
      </c>
      <c r="F43">
        <v>11.24085462</v>
      </c>
      <c r="G43">
        <v>75.802698520000007</v>
      </c>
      <c r="H43">
        <v>5</v>
      </c>
      <c r="I43" t="s">
        <v>14</v>
      </c>
      <c r="J43" t="s">
        <v>71</v>
      </c>
      <c r="K43">
        <f>IF(tbl_ChargingStation[[#This Row],[status]]="Operational",1,0)</f>
        <v>1</v>
      </c>
      <c r="L43">
        <f t="shared" si="0"/>
        <v>5</v>
      </c>
      <c r="M43" t="str">
        <f t="shared" si="1"/>
        <v>Kerala</v>
      </c>
    </row>
    <row r="44" spans="1:13">
      <c r="A44">
        <v>478866</v>
      </c>
      <c r="B44" t="s">
        <v>170</v>
      </c>
      <c r="C44" t="s">
        <v>171</v>
      </c>
      <c r="D44" t="s">
        <v>70</v>
      </c>
      <c r="E44" t="s">
        <v>13</v>
      </c>
      <c r="F44">
        <v>12.25915661</v>
      </c>
      <c r="G44">
        <v>75.150529879999993</v>
      </c>
      <c r="H44">
        <v>5</v>
      </c>
      <c r="I44" t="s">
        <v>14</v>
      </c>
      <c r="J44" t="s">
        <v>139</v>
      </c>
      <c r="K44">
        <f>IF(tbl_ChargingStation[[#This Row],[status]]="Operational",1,0)</f>
        <v>1</v>
      </c>
      <c r="L44">
        <f t="shared" si="0"/>
        <v>5</v>
      </c>
      <c r="M44" t="str">
        <f t="shared" si="1"/>
        <v>Kerala</v>
      </c>
    </row>
    <row r="45" spans="1:13">
      <c r="A45">
        <v>313952</v>
      </c>
      <c r="B45" t="s">
        <v>516</v>
      </c>
      <c r="C45" t="s">
        <v>197</v>
      </c>
      <c r="D45" t="s">
        <v>70</v>
      </c>
      <c r="E45" t="s">
        <v>13</v>
      </c>
      <c r="F45">
        <v>11.258465129999999</v>
      </c>
      <c r="G45">
        <v>75.792906119999998</v>
      </c>
      <c r="H45">
        <v>5</v>
      </c>
      <c r="I45" t="s">
        <v>14</v>
      </c>
      <c r="J45" t="s">
        <v>358</v>
      </c>
      <c r="K45">
        <f>IF(tbl_ChargingStation[[#This Row],[status]]="Operational",1,0)</f>
        <v>1</v>
      </c>
      <c r="L45">
        <f t="shared" si="0"/>
        <v>5</v>
      </c>
      <c r="M45" t="str">
        <f t="shared" si="1"/>
        <v>Kerala</v>
      </c>
    </row>
    <row r="46" spans="1:13">
      <c r="A46">
        <v>313869</v>
      </c>
      <c r="B46" t="s">
        <v>625</v>
      </c>
      <c r="C46" t="s">
        <v>624</v>
      </c>
      <c r="D46" t="s">
        <v>70</v>
      </c>
      <c r="E46" t="s">
        <v>13</v>
      </c>
      <c r="F46">
        <v>9.948953178</v>
      </c>
      <c r="G46">
        <v>76.347710919999997</v>
      </c>
      <c r="H46">
        <v>5</v>
      </c>
      <c r="I46" t="s">
        <v>14</v>
      </c>
      <c r="J46" t="s">
        <v>71</v>
      </c>
      <c r="K46">
        <f>IF(tbl_ChargingStation[[#This Row],[status]]="Operational",1,0)</f>
        <v>1</v>
      </c>
      <c r="L46">
        <f t="shared" si="0"/>
        <v>5</v>
      </c>
      <c r="M46" t="str">
        <f t="shared" si="1"/>
        <v>Kerala</v>
      </c>
    </row>
    <row r="47" spans="1:13">
      <c r="A47">
        <v>313857</v>
      </c>
      <c r="B47" t="s">
        <v>645</v>
      </c>
      <c r="C47" t="s">
        <v>96</v>
      </c>
      <c r="D47" t="s">
        <v>70</v>
      </c>
      <c r="E47" t="s">
        <v>13</v>
      </c>
      <c r="F47">
        <v>10.089873280000001</v>
      </c>
      <c r="G47">
        <v>76.497670339999999</v>
      </c>
      <c r="H47">
        <v>5</v>
      </c>
      <c r="I47" t="s">
        <v>14</v>
      </c>
      <c r="J47" t="s">
        <v>71</v>
      </c>
      <c r="K47">
        <f>IF(tbl_ChargingStation[[#This Row],[status]]="Operational",1,0)</f>
        <v>1</v>
      </c>
      <c r="L47">
        <f t="shared" si="0"/>
        <v>5</v>
      </c>
      <c r="M47" t="str">
        <f t="shared" si="1"/>
        <v>Kerala</v>
      </c>
    </row>
    <row r="48" spans="1:13">
      <c r="A48">
        <v>313719</v>
      </c>
      <c r="B48" t="s">
        <v>786</v>
      </c>
      <c r="C48" t="s">
        <v>117</v>
      </c>
      <c r="D48" t="s">
        <v>70</v>
      </c>
      <c r="E48" t="s">
        <v>13</v>
      </c>
      <c r="F48">
        <v>10.91624728</v>
      </c>
      <c r="G48">
        <v>75.918286539999997</v>
      </c>
      <c r="H48">
        <v>5</v>
      </c>
      <c r="I48" t="s">
        <v>14</v>
      </c>
      <c r="J48" t="s">
        <v>174</v>
      </c>
      <c r="K48">
        <f>IF(tbl_ChargingStation[[#This Row],[status]]="Operational",1,0)</f>
        <v>1</v>
      </c>
      <c r="L48">
        <f t="shared" si="0"/>
        <v>5</v>
      </c>
      <c r="M48" t="str">
        <f t="shared" si="1"/>
        <v>Kerala</v>
      </c>
    </row>
    <row r="49" spans="1:13">
      <c r="A49">
        <v>313640</v>
      </c>
      <c r="B49" t="s">
        <v>875</v>
      </c>
      <c r="C49" t="s">
        <v>876</v>
      </c>
      <c r="D49" t="s">
        <v>70</v>
      </c>
      <c r="E49" t="s">
        <v>13</v>
      </c>
      <c r="F49">
        <v>10.14563298</v>
      </c>
      <c r="G49">
        <v>76.256903809999997</v>
      </c>
      <c r="H49">
        <v>5</v>
      </c>
      <c r="I49" t="s">
        <v>14</v>
      </c>
      <c r="J49" t="s">
        <v>174</v>
      </c>
      <c r="K49">
        <f>IF(tbl_ChargingStation[[#This Row],[status]]="Operational",1,0)</f>
        <v>1</v>
      </c>
      <c r="L49">
        <f t="shared" si="0"/>
        <v>5</v>
      </c>
      <c r="M49" t="str">
        <f t="shared" si="1"/>
        <v>Kerala</v>
      </c>
    </row>
    <row r="50" spans="1:13">
      <c r="A50">
        <v>313619</v>
      </c>
      <c r="B50" t="s">
        <v>902</v>
      </c>
      <c r="C50" t="s">
        <v>903</v>
      </c>
      <c r="D50" t="s">
        <v>70</v>
      </c>
      <c r="E50" t="s">
        <v>13</v>
      </c>
      <c r="F50">
        <v>10.02602207</v>
      </c>
      <c r="G50">
        <v>76.391995969999996</v>
      </c>
      <c r="H50">
        <v>5</v>
      </c>
      <c r="I50" t="s">
        <v>14</v>
      </c>
      <c r="J50" t="s">
        <v>201</v>
      </c>
      <c r="K50">
        <f>IF(tbl_ChargingStation[[#This Row],[status]]="Operational",1,0)</f>
        <v>1</v>
      </c>
      <c r="L50">
        <f t="shared" si="0"/>
        <v>5</v>
      </c>
      <c r="M50" t="str">
        <f t="shared" si="1"/>
        <v>Kerala</v>
      </c>
    </row>
    <row r="51" spans="1:13">
      <c r="A51">
        <v>313587</v>
      </c>
      <c r="B51" t="s">
        <v>943</v>
      </c>
      <c r="C51" t="s">
        <v>944</v>
      </c>
      <c r="D51" t="s">
        <v>70</v>
      </c>
      <c r="E51" t="s">
        <v>13</v>
      </c>
      <c r="F51">
        <v>9.6326842090000007</v>
      </c>
      <c r="G51">
        <v>76.524401699999999</v>
      </c>
      <c r="H51">
        <v>5</v>
      </c>
      <c r="I51" t="s">
        <v>14</v>
      </c>
      <c r="J51" t="s">
        <v>174</v>
      </c>
      <c r="K51">
        <f>IF(tbl_ChargingStation[[#This Row],[status]]="Operational",1,0)</f>
        <v>1</v>
      </c>
      <c r="L51">
        <f t="shared" si="0"/>
        <v>5</v>
      </c>
      <c r="M51" t="str">
        <f t="shared" si="1"/>
        <v>Kerala</v>
      </c>
    </row>
    <row r="52" spans="1:13">
      <c r="A52">
        <v>313581</v>
      </c>
      <c r="B52" t="s">
        <v>951</v>
      </c>
      <c r="C52" t="s">
        <v>952</v>
      </c>
      <c r="D52" t="s">
        <v>70</v>
      </c>
      <c r="E52" t="s">
        <v>13</v>
      </c>
      <c r="F52">
        <v>9.4256169029999999</v>
      </c>
      <c r="G52">
        <v>76.346772639999998</v>
      </c>
      <c r="H52">
        <v>5</v>
      </c>
      <c r="I52" t="s">
        <v>14</v>
      </c>
      <c r="J52" t="s">
        <v>174</v>
      </c>
      <c r="K52">
        <f>IF(tbl_ChargingStation[[#This Row],[status]]="Operational",1,0)</f>
        <v>1</v>
      </c>
      <c r="L52">
        <f t="shared" si="0"/>
        <v>5</v>
      </c>
      <c r="M52" t="str">
        <f t="shared" si="1"/>
        <v>Kerala</v>
      </c>
    </row>
    <row r="53" spans="1:13">
      <c r="A53">
        <v>313452</v>
      </c>
      <c r="B53" t="s">
        <v>1062</v>
      </c>
      <c r="C53" t="s">
        <v>169</v>
      </c>
      <c r="D53" t="s">
        <v>70</v>
      </c>
      <c r="E53" t="s">
        <v>13</v>
      </c>
      <c r="F53">
        <v>10.49548871</v>
      </c>
      <c r="G53">
        <v>76.256802530000002</v>
      </c>
      <c r="H53">
        <v>5</v>
      </c>
      <c r="I53" t="s">
        <v>14</v>
      </c>
      <c r="J53" t="s">
        <v>198</v>
      </c>
      <c r="K53">
        <f>IF(tbl_ChargingStation[[#This Row],[status]]="Operational",1,0)</f>
        <v>1</v>
      </c>
      <c r="L53">
        <f t="shared" si="0"/>
        <v>5</v>
      </c>
      <c r="M53" t="str">
        <f t="shared" si="1"/>
        <v>Kerala</v>
      </c>
    </row>
    <row r="54" spans="1:13">
      <c r="A54">
        <v>479393</v>
      </c>
      <c r="B54" t="s">
        <v>19</v>
      </c>
      <c r="C54" t="s">
        <v>12</v>
      </c>
      <c r="D54" t="s">
        <v>20</v>
      </c>
      <c r="E54" t="s">
        <v>13</v>
      </c>
      <c r="F54">
        <v>21.501024900000001</v>
      </c>
      <c r="G54">
        <v>83.891313100000005</v>
      </c>
      <c r="H54">
        <v>4</v>
      </c>
      <c r="I54" t="s">
        <v>14</v>
      </c>
      <c r="J54" t="s">
        <v>12</v>
      </c>
      <c r="K54">
        <f>IF(tbl_ChargingStation[[#This Row],[status]]="Operational",1,0)</f>
        <v>1</v>
      </c>
      <c r="L54">
        <f t="shared" si="0"/>
        <v>4</v>
      </c>
      <c r="M54" t="str">
        <f t="shared" si="1"/>
        <v>Odisha</v>
      </c>
    </row>
    <row r="55" spans="1:13">
      <c r="A55">
        <v>478888</v>
      </c>
      <c r="B55" t="s">
        <v>126</v>
      </c>
      <c r="C55" t="s">
        <v>127</v>
      </c>
      <c r="D55" t="s">
        <v>70</v>
      </c>
      <c r="E55" t="s">
        <v>13</v>
      </c>
      <c r="F55">
        <v>11.44624844</v>
      </c>
      <c r="G55">
        <v>75.833079690000005</v>
      </c>
      <c r="H55">
        <v>4</v>
      </c>
      <c r="I55" t="s">
        <v>14</v>
      </c>
      <c r="J55" t="s">
        <v>71</v>
      </c>
      <c r="K55">
        <f>IF(tbl_ChargingStation[[#This Row],[status]]="Operational",1,0)</f>
        <v>1</v>
      </c>
      <c r="L55">
        <f t="shared" si="0"/>
        <v>4</v>
      </c>
      <c r="M55" t="str">
        <f t="shared" si="1"/>
        <v>Kerala</v>
      </c>
    </row>
    <row r="56" spans="1:13">
      <c r="A56">
        <v>478881</v>
      </c>
      <c r="B56" t="s">
        <v>142</v>
      </c>
      <c r="C56" t="s">
        <v>143</v>
      </c>
      <c r="D56" t="s">
        <v>138</v>
      </c>
      <c r="E56" t="s">
        <v>13</v>
      </c>
      <c r="F56">
        <v>12.927433990000001</v>
      </c>
      <c r="G56">
        <v>79.934162229999998</v>
      </c>
      <c r="H56">
        <v>4</v>
      </c>
      <c r="I56" t="s">
        <v>14</v>
      </c>
      <c r="J56" t="s">
        <v>139</v>
      </c>
      <c r="K56">
        <f>IF(tbl_ChargingStation[[#This Row],[status]]="Operational",1,0)</f>
        <v>1</v>
      </c>
      <c r="L56">
        <f t="shared" si="0"/>
        <v>4</v>
      </c>
      <c r="M56" t="str">
        <f t="shared" si="1"/>
        <v>Tamil Nadu</v>
      </c>
    </row>
    <row r="57" spans="1:13">
      <c r="A57">
        <v>478878</v>
      </c>
      <c r="B57" t="s">
        <v>147</v>
      </c>
      <c r="C57" t="s">
        <v>148</v>
      </c>
      <c r="D57" t="s">
        <v>138</v>
      </c>
      <c r="E57" t="s">
        <v>13</v>
      </c>
      <c r="F57">
        <v>11.81284597</v>
      </c>
      <c r="G57">
        <v>79.418019650000005</v>
      </c>
      <c r="H57">
        <v>4</v>
      </c>
      <c r="I57" t="s">
        <v>14</v>
      </c>
      <c r="J57" t="s">
        <v>139</v>
      </c>
      <c r="K57">
        <f>IF(tbl_ChargingStation[[#This Row],[status]]="Operational",1,0)</f>
        <v>1</v>
      </c>
      <c r="L57">
        <f t="shared" si="0"/>
        <v>4</v>
      </c>
      <c r="M57" t="str">
        <f t="shared" si="1"/>
        <v>Tamil Nadu</v>
      </c>
    </row>
    <row r="58" spans="1:13">
      <c r="A58">
        <v>475941</v>
      </c>
      <c r="B58" t="s">
        <v>202</v>
      </c>
      <c r="C58" t="s">
        <v>12</v>
      </c>
      <c r="D58" t="s">
        <v>203</v>
      </c>
      <c r="E58" t="s">
        <v>13</v>
      </c>
      <c r="F58">
        <v>26.83003059</v>
      </c>
      <c r="G58">
        <v>75.571203440000005</v>
      </c>
      <c r="H58">
        <v>4</v>
      </c>
      <c r="I58" t="s">
        <v>14</v>
      </c>
      <c r="J58" t="s">
        <v>201</v>
      </c>
      <c r="K58">
        <f>IF(tbl_ChargingStation[[#This Row],[status]]="Operational",1,0)</f>
        <v>1</v>
      </c>
      <c r="L58">
        <f t="shared" si="0"/>
        <v>4</v>
      </c>
      <c r="M58" t="str">
        <f t="shared" si="1"/>
        <v>Rajasthan</v>
      </c>
    </row>
    <row r="59" spans="1:13">
      <c r="A59">
        <v>475873</v>
      </c>
      <c r="B59" t="s">
        <v>212</v>
      </c>
      <c r="C59" t="s">
        <v>209</v>
      </c>
      <c r="D59" t="s">
        <v>203</v>
      </c>
      <c r="E59" t="s">
        <v>13</v>
      </c>
      <c r="F59">
        <v>27.562407319999998</v>
      </c>
      <c r="G59">
        <v>76.074978009999995</v>
      </c>
      <c r="H59">
        <v>4</v>
      </c>
      <c r="I59" t="s">
        <v>14</v>
      </c>
      <c r="J59" t="s">
        <v>213</v>
      </c>
      <c r="K59">
        <f>IF(tbl_ChargingStation[[#This Row],[status]]="Operational",1,0)</f>
        <v>1</v>
      </c>
      <c r="L59">
        <f t="shared" si="0"/>
        <v>4</v>
      </c>
      <c r="M59" t="str">
        <f t="shared" si="1"/>
        <v>Rajasthan</v>
      </c>
    </row>
    <row r="60" spans="1:13">
      <c r="A60">
        <v>474558</v>
      </c>
      <c r="B60" t="s">
        <v>285</v>
      </c>
      <c r="C60" t="s">
        <v>286</v>
      </c>
      <c r="D60" t="s">
        <v>70</v>
      </c>
      <c r="E60" t="s">
        <v>13</v>
      </c>
      <c r="F60">
        <v>10.00394558</v>
      </c>
      <c r="G60">
        <v>76.313353500000005</v>
      </c>
      <c r="H60">
        <v>4</v>
      </c>
      <c r="I60" t="s">
        <v>14</v>
      </c>
      <c r="J60" t="s">
        <v>174</v>
      </c>
      <c r="K60">
        <f>IF(tbl_ChargingStation[[#This Row],[status]]="Operational",1,0)</f>
        <v>1</v>
      </c>
      <c r="L60">
        <f t="shared" si="0"/>
        <v>4</v>
      </c>
      <c r="M60" t="str">
        <f t="shared" si="1"/>
        <v>Kerala</v>
      </c>
    </row>
    <row r="61" spans="1:13">
      <c r="A61">
        <v>464530</v>
      </c>
      <c r="B61" t="s">
        <v>445</v>
      </c>
      <c r="C61" t="s">
        <v>442</v>
      </c>
      <c r="D61" t="s">
        <v>443</v>
      </c>
      <c r="E61" t="s">
        <v>13</v>
      </c>
      <c r="F61">
        <v>26.857210689999999</v>
      </c>
      <c r="G61">
        <v>80.982235149999994</v>
      </c>
      <c r="H61">
        <v>4</v>
      </c>
      <c r="I61" t="s">
        <v>14</v>
      </c>
      <c r="J61" t="s">
        <v>444</v>
      </c>
      <c r="K61">
        <f>IF(tbl_ChargingStation[[#This Row],[status]]="Operational",1,0)</f>
        <v>1</v>
      </c>
      <c r="L61">
        <f t="shared" si="0"/>
        <v>4</v>
      </c>
      <c r="M61" t="str">
        <f t="shared" si="1"/>
        <v>UTTAR PRADESH</v>
      </c>
    </row>
    <row r="62" spans="1:13">
      <c r="A62">
        <v>313917</v>
      </c>
      <c r="B62" t="s">
        <v>548</v>
      </c>
      <c r="C62" t="s">
        <v>549</v>
      </c>
      <c r="D62" t="s">
        <v>70</v>
      </c>
      <c r="E62" t="s">
        <v>13</v>
      </c>
      <c r="F62">
        <v>8.394252775</v>
      </c>
      <c r="G62">
        <v>77.088728970000005</v>
      </c>
      <c r="H62">
        <v>4</v>
      </c>
      <c r="I62" t="s">
        <v>14</v>
      </c>
      <c r="J62" t="s">
        <v>71</v>
      </c>
      <c r="K62">
        <f>IF(tbl_ChargingStation[[#This Row],[status]]="Operational",1,0)</f>
        <v>1</v>
      </c>
      <c r="L62">
        <f t="shared" si="0"/>
        <v>4</v>
      </c>
      <c r="M62" t="str">
        <f t="shared" si="1"/>
        <v>Kerala</v>
      </c>
    </row>
    <row r="63" spans="1:13">
      <c r="A63">
        <v>313903</v>
      </c>
      <c r="B63" t="s">
        <v>571</v>
      </c>
      <c r="C63" t="s">
        <v>572</v>
      </c>
      <c r="D63" t="s">
        <v>70</v>
      </c>
      <c r="E63" t="s">
        <v>13</v>
      </c>
      <c r="F63">
        <v>9.0451284330000004</v>
      </c>
      <c r="G63">
        <v>76.773600040000005</v>
      </c>
      <c r="H63">
        <v>4</v>
      </c>
      <c r="I63" t="s">
        <v>14</v>
      </c>
      <c r="J63" t="s">
        <v>71</v>
      </c>
      <c r="K63">
        <f>IF(tbl_ChargingStation[[#This Row],[status]]="Operational",1,0)</f>
        <v>1</v>
      </c>
      <c r="L63">
        <f t="shared" si="0"/>
        <v>4</v>
      </c>
      <c r="M63" t="str">
        <f t="shared" si="1"/>
        <v>Kerala</v>
      </c>
    </row>
    <row r="64" spans="1:13">
      <c r="A64">
        <v>313897</v>
      </c>
      <c r="B64" t="s">
        <v>579</v>
      </c>
      <c r="C64" t="s">
        <v>577</v>
      </c>
      <c r="D64" t="s">
        <v>70</v>
      </c>
      <c r="E64" t="s">
        <v>13</v>
      </c>
      <c r="F64">
        <v>9.1847397290000004</v>
      </c>
      <c r="G64">
        <v>76.490296839999999</v>
      </c>
      <c r="H64">
        <v>4</v>
      </c>
      <c r="I64" t="s">
        <v>14</v>
      </c>
      <c r="J64" t="s">
        <v>71</v>
      </c>
      <c r="K64">
        <f>IF(tbl_ChargingStation[[#This Row],[status]]="Operational",1,0)</f>
        <v>1</v>
      </c>
      <c r="L64">
        <f t="shared" si="0"/>
        <v>4</v>
      </c>
      <c r="M64" t="str">
        <f t="shared" si="1"/>
        <v>Kerala</v>
      </c>
    </row>
    <row r="65" spans="1:13">
      <c r="A65">
        <v>313893</v>
      </c>
      <c r="B65" t="s">
        <v>586</v>
      </c>
      <c r="C65" t="s">
        <v>587</v>
      </c>
      <c r="D65" t="s">
        <v>70</v>
      </c>
      <c r="E65" t="s">
        <v>13</v>
      </c>
      <c r="F65">
        <v>9.3115330269999994</v>
      </c>
      <c r="G65">
        <v>76.622720529999995</v>
      </c>
      <c r="H65">
        <v>4</v>
      </c>
      <c r="I65" t="s">
        <v>14</v>
      </c>
      <c r="J65" t="s">
        <v>71</v>
      </c>
      <c r="K65">
        <f>IF(tbl_ChargingStation[[#This Row],[status]]="Operational",1,0)</f>
        <v>1</v>
      </c>
      <c r="L65">
        <f t="shared" si="0"/>
        <v>4</v>
      </c>
      <c r="M65" t="str">
        <f t="shared" si="1"/>
        <v>Kerala</v>
      </c>
    </row>
    <row r="66" spans="1:13">
      <c r="A66">
        <v>313859</v>
      </c>
      <c r="B66" t="s">
        <v>642</v>
      </c>
      <c r="C66" t="s">
        <v>640</v>
      </c>
      <c r="D66" t="s">
        <v>70</v>
      </c>
      <c r="E66" t="s">
        <v>13</v>
      </c>
      <c r="F66">
        <v>10.025853</v>
      </c>
      <c r="G66">
        <v>76.308479879999993</v>
      </c>
      <c r="H66">
        <v>4</v>
      </c>
      <c r="I66" t="s">
        <v>14</v>
      </c>
      <c r="J66" t="s">
        <v>71</v>
      </c>
      <c r="K66">
        <f>IF(tbl_ChargingStation[[#This Row],[status]]="Operational",1,0)</f>
        <v>1</v>
      </c>
      <c r="L66">
        <f t="shared" ref="L66:L129" si="2">H66*K66</f>
        <v>4</v>
      </c>
      <c r="M66" t="str">
        <f t="shared" ref="M66:M129" si="3">IF(D66="GJ","Gujarat",IF(OR(D66="Keral",D66="Keraka",D66="Lerala"),"Kerala",IF(D66="MH","Maharashtra",IF(D66="MP","Madhya Pradesh",IF(D66="RJ","Rajasthan",IF(D66="TAMILNADU","Tamil Nadu",IF(D66="Uttarakhnad","Uttarakhand",D66)))))))</f>
        <v>Kerala</v>
      </c>
    </row>
    <row r="67" spans="1:13">
      <c r="A67">
        <v>313843</v>
      </c>
      <c r="B67" t="s">
        <v>659</v>
      </c>
      <c r="C67" t="s">
        <v>169</v>
      </c>
      <c r="D67" t="s">
        <v>70</v>
      </c>
      <c r="E67" t="s">
        <v>13</v>
      </c>
      <c r="F67">
        <v>10.43559497</v>
      </c>
      <c r="G67">
        <v>76.265874679999996</v>
      </c>
      <c r="H67">
        <v>4</v>
      </c>
      <c r="I67" t="s">
        <v>14</v>
      </c>
      <c r="J67" t="s">
        <v>71</v>
      </c>
      <c r="K67">
        <f>IF(tbl_ChargingStation[[#This Row],[status]]="Operational",1,0)</f>
        <v>1</v>
      </c>
      <c r="L67">
        <f t="shared" si="2"/>
        <v>4</v>
      </c>
      <c r="M67" t="str">
        <f t="shared" si="3"/>
        <v>Kerala</v>
      </c>
    </row>
    <row r="68" spans="1:13">
      <c r="A68">
        <v>313839</v>
      </c>
      <c r="B68" t="s">
        <v>661</v>
      </c>
      <c r="C68" t="s">
        <v>169</v>
      </c>
      <c r="D68" t="s">
        <v>70</v>
      </c>
      <c r="E68" t="s">
        <v>13</v>
      </c>
      <c r="F68">
        <v>10.548946559999999</v>
      </c>
      <c r="G68">
        <v>76.183041110000005</v>
      </c>
      <c r="H68">
        <v>4</v>
      </c>
      <c r="I68" t="s">
        <v>14</v>
      </c>
      <c r="J68" t="s">
        <v>71</v>
      </c>
      <c r="K68">
        <f>IF(tbl_ChargingStation[[#This Row],[status]]="Operational",1,0)</f>
        <v>1</v>
      </c>
      <c r="L68">
        <f t="shared" si="2"/>
        <v>4</v>
      </c>
      <c r="M68" t="str">
        <f t="shared" si="3"/>
        <v>Kerala</v>
      </c>
    </row>
    <row r="69" spans="1:13">
      <c r="A69">
        <v>313809</v>
      </c>
      <c r="B69" t="s">
        <v>683</v>
      </c>
      <c r="C69" t="s">
        <v>684</v>
      </c>
      <c r="D69" t="s">
        <v>70</v>
      </c>
      <c r="E69" t="s">
        <v>13</v>
      </c>
      <c r="F69">
        <v>10.69271606</v>
      </c>
      <c r="G69">
        <v>76.268583750000005</v>
      </c>
      <c r="H69">
        <v>4</v>
      </c>
      <c r="I69" t="s">
        <v>14</v>
      </c>
      <c r="J69" t="s">
        <v>71</v>
      </c>
      <c r="K69">
        <f>IF(tbl_ChargingStation[[#This Row],[status]]="Operational",1,0)</f>
        <v>1</v>
      </c>
      <c r="L69">
        <f t="shared" si="2"/>
        <v>4</v>
      </c>
      <c r="M69" t="str">
        <f t="shared" si="3"/>
        <v>Kerala</v>
      </c>
    </row>
    <row r="70" spans="1:13">
      <c r="A70">
        <v>313806</v>
      </c>
      <c r="B70" t="s">
        <v>689</v>
      </c>
      <c r="C70" t="s">
        <v>688</v>
      </c>
      <c r="D70" t="s">
        <v>70</v>
      </c>
      <c r="E70" t="s">
        <v>13</v>
      </c>
      <c r="F70">
        <v>10.81106853</v>
      </c>
      <c r="G70">
        <v>76.186443699999998</v>
      </c>
      <c r="H70">
        <v>4</v>
      </c>
      <c r="I70" t="s">
        <v>14</v>
      </c>
      <c r="J70" t="s">
        <v>71</v>
      </c>
      <c r="K70">
        <f>IF(tbl_ChargingStation[[#This Row],[status]]="Operational",1,0)</f>
        <v>1</v>
      </c>
      <c r="L70">
        <f t="shared" si="2"/>
        <v>4</v>
      </c>
      <c r="M70" t="str">
        <f t="shared" si="3"/>
        <v>Kerala</v>
      </c>
    </row>
    <row r="71" spans="1:13">
      <c r="A71">
        <v>313763</v>
      </c>
      <c r="B71" t="s">
        <v>721</v>
      </c>
      <c r="C71" t="s">
        <v>197</v>
      </c>
      <c r="D71" t="s">
        <v>70</v>
      </c>
      <c r="E71" t="s">
        <v>13</v>
      </c>
      <c r="F71">
        <v>11.25880102</v>
      </c>
      <c r="G71">
        <v>75.808904350000006</v>
      </c>
      <c r="H71">
        <v>4</v>
      </c>
      <c r="I71" t="s">
        <v>14</v>
      </c>
      <c r="J71" t="s">
        <v>71</v>
      </c>
      <c r="K71">
        <f>IF(tbl_ChargingStation[[#This Row],[status]]="Operational",1,0)</f>
        <v>1</v>
      </c>
      <c r="L71">
        <f t="shared" si="2"/>
        <v>4</v>
      </c>
      <c r="M71" t="str">
        <f t="shared" si="3"/>
        <v>Kerala</v>
      </c>
    </row>
    <row r="72" spans="1:13">
      <c r="A72">
        <v>313740</v>
      </c>
      <c r="B72" t="s">
        <v>756</v>
      </c>
      <c r="C72" t="s">
        <v>522</v>
      </c>
      <c r="D72" t="s">
        <v>70</v>
      </c>
      <c r="E72" t="s">
        <v>13</v>
      </c>
      <c r="F72">
        <v>11.66208634</v>
      </c>
      <c r="G72">
        <v>76.264921709999996</v>
      </c>
      <c r="H72">
        <v>4</v>
      </c>
      <c r="I72" t="s">
        <v>14</v>
      </c>
      <c r="J72" t="s">
        <v>174</v>
      </c>
      <c r="K72">
        <f>IF(tbl_ChargingStation[[#This Row],[status]]="Operational",1,0)</f>
        <v>1</v>
      </c>
      <c r="L72">
        <f t="shared" si="2"/>
        <v>4</v>
      </c>
      <c r="M72" t="str">
        <f t="shared" si="3"/>
        <v>Kerala</v>
      </c>
    </row>
    <row r="73" spans="1:13">
      <c r="A73">
        <v>313738</v>
      </c>
      <c r="B73" t="s">
        <v>758</v>
      </c>
      <c r="C73" t="s">
        <v>526</v>
      </c>
      <c r="D73" t="s">
        <v>70</v>
      </c>
      <c r="E73" t="s">
        <v>13</v>
      </c>
      <c r="F73">
        <v>11.59145545</v>
      </c>
      <c r="G73">
        <v>76.070909779999994</v>
      </c>
      <c r="H73">
        <v>4</v>
      </c>
      <c r="I73" t="s">
        <v>14</v>
      </c>
      <c r="J73" t="s">
        <v>174</v>
      </c>
      <c r="K73">
        <f>IF(tbl_ChargingStation[[#This Row],[status]]="Operational",1,0)</f>
        <v>1</v>
      </c>
      <c r="L73">
        <f t="shared" si="2"/>
        <v>4</v>
      </c>
      <c r="M73" t="str">
        <f t="shared" si="3"/>
        <v>Kerala</v>
      </c>
    </row>
    <row r="74" spans="1:13">
      <c r="A74">
        <v>313708</v>
      </c>
      <c r="B74" t="s">
        <v>802</v>
      </c>
      <c r="C74" t="s">
        <v>803</v>
      </c>
      <c r="D74" t="s">
        <v>70</v>
      </c>
      <c r="E74" t="s">
        <v>13</v>
      </c>
      <c r="F74">
        <v>10.80936299</v>
      </c>
      <c r="G74">
        <v>76.846321590000002</v>
      </c>
      <c r="H74">
        <v>4</v>
      </c>
      <c r="I74" t="s">
        <v>14</v>
      </c>
      <c r="J74" t="s">
        <v>174</v>
      </c>
      <c r="K74">
        <f>IF(tbl_ChargingStation[[#This Row],[status]]="Operational",1,0)</f>
        <v>1</v>
      </c>
      <c r="L74">
        <f t="shared" si="2"/>
        <v>4</v>
      </c>
      <c r="M74" t="str">
        <f t="shared" si="3"/>
        <v>Kerala</v>
      </c>
    </row>
    <row r="75" spans="1:13">
      <c r="A75">
        <v>313692</v>
      </c>
      <c r="B75" t="s">
        <v>827</v>
      </c>
      <c r="C75" t="s">
        <v>828</v>
      </c>
      <c r="D75" t="s">
        <v>70</v>
      </c>
      <c r="E75" t="s">
        <v>13</v>
      </c>
      <c r="F75">
        <v>10.644411310000001</v>
      </c>
      <c r="G75">
        <v>76.236652379999995</v>
      </c>
      <c r="H75">
        <v>4</v>
      </c>
      <c r="I75" t="s">
        <v>14</v>
      </c>
      <c r="J75" t="s">
        <v>174</v>
      </c>
      <c r="K75">
        <f>IF(tbl_ChargingStation[[#This Row],[status]]="Operational",1,0)</f>
        <v>1</v>
      </c>
      <c r="L75">
        <f t="shared" si="2"/>
        <v>4</v>
      </c>
      <c r="M75" t="str">
        <f t="shared" si="3"/>
        <v>Kerala</v>
      </c>
    </row>
    <row r="76" spans="1:13">
      <c r="A76">
        <v>313677</v>
      </c>
      <c r="B76" t="s">
        <v>838</v>
      </c>
      <c r="C76" t="s">
        <v>169</v>
      </c>
      <c r="D76" t="s">
        <v>70</v>
      </c>
      <c r="E76" t="s">
        <v>13</v>
      </c>
      <c r="F76">
        <v>10.50445167</v>
      </c>
      <c r="G76">
        <v>76.225341470000004</v>
      </c>
      <c r="H76">
        <v>4</v>
      </c>
      <c r="I76" t="s">
        <v>14</v>
      </c>
      <c r="J76" t="s">
        <v>174</v>
      </c>
      <c r="K76">
        <f>IF(tbl_ChargingStation[[#This Row],[status]]="Operational",1,0)</f>
        <v>1</v>
      </c>
      <c r="L76">
        <f t="shared" si="2"/>
        <v>4</v>
      </c>
      <c r="M76" t="str">
        <f t="shared" si="3"/>
        <v>Kerala</v>
      </c>
    </row>
    <row r="77" spans="1:13">
      <c r="A77">
        <v>313645</v>
      </c>
      <c r="B77" t="s">
        <v>870</v>
      </c>
      <c r="C77" t="s">
        <v>478</v>
      </c>
      <c r="D77" t="s">
        <v>70</v>
      </c>
      <c r="E77" t="s">
        <v>13</v>
      </c>
      <c r="F77">
        <v>10.15658638</v>
      </c>
      <c r="G77">
        <v>76.391931560000003</v>
      </c>
      <c r="H77">
        <v>4</v>
      </c>
      <c r="I77" t="s">
        <v>14</v>
      </c>
      <c r="J77" t="s">
        <v>174</v>
      </c>
      <c r="K77">
        <f>IF(tbl_ChargingStation[[#This Row],[status]]="Operational",1,0)</f>
        <v>1</v>
      </c>
      <c r="L77">
        <f t="shared" si="2"/>
        <v>4</v>
      </c>
      <c r="M77" t="str">
        <f t="shared" si="3"/>
        <v>Kerala</v>
      </c>
    </row>
    <row r="78" spans="1:13">
      <c r="A78">
        <v>313644</v>
      </c>
      <c r="B78" t="s">
        <v>871</v>
      </c>
      <c r="C78" t="s">
        <v>478</v>
      </c>
      <c r="D78" t="s">
        <v>70</v>
      </c>
      <c r="E78" t="s">
        <v>13</v>
      </c>
      <c r="F78">
        <v>10.15686756</v>
      </c>
      <c r="G78">
        <v>76.388979899999995</v>
      </c>
      <c r="H78">
        <v>4</v>
      </c>
      <c r="I78" t="s">
        <v>14</v>
      </c>
      <c r="J78" t="s">
        <v>174</v>
      </c>
      <c r="K78">
        <f>IF(tbl_ChargingStation[[#This Row],[status]]="Operational",1,0)</f>
        <v>1</v>
      </c>
      <c r="L78">
        <f t="shared" si="2"/>
        <v>4</v>
      </c>
      <c r="M78" t="str">
        <f t="shared" si="3"/>
        <v>Kerala</v>
      </c>
    </row>
    <row r="79" spans="1:13">
      <c r="A79">
        <v>313623</v>
      </c>
      <c r="B79" t="s">
        <v>897</v>
      </c>
      <c r="C79" t="s">
        <v>92</v>
      </c>
      <c r="D79" t="s">
        <v>70</v>
      </c>
      <c r="E79" t="s">
        <v>13</v>
      </c>
      <c r="F79">
        <v>10.08803183</v>
      </c>
      <c r="G79">
        <v>76.389042209999999</v>
      </c>
      <c r="H79">
        <v>4</v>
      </c>
      <c r="I79" t="s">
        <v>14</v>
      </c>
      <c r="J79" t="s">
        <v>174</v>
      </c>
      <c r="K79">
        <f>IF(tbl_ChargingStation[[#This Row],[status]]="Operational",1,0)</f>
        <v>1</v>
      </c>
      <c r="L79">
        <f t="shared" si="2"/>
        <v>4</v>
      </c>
      <c r="M79" t="str">
        <f t="shared" si="3"/>
        <v>Kerala</v>
      </c>
    </row>
    <row r="80" spans="1:13">
      <c r="A80">
        <v>313621</v>
      </c>
      <c r="B80" t="s">
        <v>900</v>
      </c>
      <c r="C80" t="s">
        <v>899</v>
      </c>
      <c r="D80" t="s">
        <v>70</v>
      </c>
      <c r="E80" t="s">
        <v>13</v>
      </c>
      <c r="F80">
        <v>9.9329876020000007</v>
      </c>
      <c r="G80">
        <v>76.388735729999993</v>
      </c>
      <c r="H80">
        <v>4</v>
      </c>
      <c r="I80" t="s">
        <v>14</v>
      </c>
      <c r="J80" t="s">
        <v>174</v>
      </c>
      <c r="K80">
        <f>IF(tbl_ChargingStation[[#This Row],[status]]="Operational",1,0)</f>
        <v>1</v>
      </c>
      <c r="L80">
        <f t="shared" si="2"/>
        <v>4</v>
      </c>
      <c r="M80" t="str">
        <f t="shared" si="3"/>
        <v>Kerala</v>
      </c>
    </row>
    <row r="81" spans="1:13">
      <c r="A81">
        <v>313620</v>
      </c>
      <c r="B81" t="s">
        <v>901</v>
      </c>
      <c r="C81" t="s">
        <v>636</v>
      </c>
      <c r="D81" t="s">
        <v>70</v>
      </c>
      <c r="E81" t="s">
        <v>13</v>
      </c>
      <c r="F81">
        <v>10.00180181</v>
      </c>
      <c r="G81">
        <v>76.361517989999996</v>
      </c>
      <c r="H81">
        <v>4</v>
      </c>
      <c r="I81" t="s">
        <v>14</v>
      </c>
      <c r="J81" t="s">
        <v>174</v>
      </c>
      <c r="K81">
        <f>IF(tbl_ChargingStation[[#This Row],[status]]="Operational",1,0)</f>
        <v>1</v>
      </c>
      <c r="L81">
        <f t="shared" si="2"/>
        <v>4</v>
      </c>
      <c r="M81" t="str">
        <f t="shared" si="3"/>
        <v>Kerala</v>
      </c>
    </row>
    <row r="82" spans="1:13">
      <c r="A82">
        <v>313613</v>
      </c>
      <c r="B82" t="s">
        <v>910</v>
      </c>
      <c r="C82" t="s">
        <v>911</v>
      </c>
      <c r="D82" t="s">
        <v>70</v>
      </c>
      <c r="E82" t="s">
        <v>13</v>
      </c>
      <c r="F82">
        <v>9.978862994</v>
      </c>
      <c r="G82">
        <v>76.584439950000004</v>
      </c>
      <c r="H82">
        <v>4</v>
      </c>
      <c r="I82" t="s">
        <v>14</v>
      </c>
      <c r="J82" t="s">
        <v>174</v>
      </c>
      <c r="K82">
        <f>IF(tbl_ChargingStation[[#This Row],[status]]="Operational",1,0)</f>
        <v>1</v>
      </c>
      <c r="L82">
        <f t="shared" si="2"/>
        <v>4</v>
      </c>
      <c r="M82" t="str">
        <f t="shared" si="3"/>
        <v>Kerala</v>
      </c>
    </row>
    <row r="83" spans="1:13">
      <c r="A83">
        <v>313590</v>
      </c>
      <c r="B83" t="s">
        <v>941</v>
      </c>
      <c r="C83" t="s">
        <v>310</v>
      </c>
      <c r="D83" t="s">
        <v>70</v>
      </c>
      <c r="E83" t="s">
        <v>13</v>
      </c>
      <c r="F83">
        <v>9.6916237980000002</v>
      </c>
      <c r="G83">
        <v>76.640316949999999</v>
      </c>
      <c r="H83">
        <v>4</v>
      </c>
      <c r="I83" t="s">
        <v>14</v>
      </c>
      <c r="J83" t="s">
        <v>174</v>
      </c>
      <c r="K83">
        <f>IF(tbl_ChargingStation[[#This Row],[status]]="Operational",1,0)</f>
        <v>1</v>
      </c>
      <c r="L83">
        <f t="shared" si="2"/>
        <v>4</v>
      </c>
      <c r="M83" t="str">
        <f t="shared" si="3"/>
        <v>Kerala</v>
      </c>
    </row>
    <row r="84" spans="1:13">
      <c r="A84">
        <v>313575</v>
      </c>
      <c r="B84" t="s">
        <v>960</v>
      </c>
      <c r="C84" t="s">
        <v>961</v>
      </c>
      <c r="D84" t="s">
        <v>70</v>
      </c>
      <c r="E84" t="s">
        <v>13</v>
      </c>
      <c r="F84">
        <v>9.3142502829999998</v>
      </c>
      <c r="G84">
        <v>76.429107729999998</v>
      </c>
      <c r="H84">
        <v>4</v>
      </c>
      <c r="I84" t="s">
        <v>14</v>
      </c>
      <c r="J84" t="s">
        <v>174</v>
      </c>
      <c r="K84">
        <f>IF(tbl_ChargingStation[[#This Row],[status]]="Operational",1,0)</f>
        <v>1</v>
      </c>
      <c r="L84">
        <f t="shared" si="2"/>
        <v>4</v>
      </c>
      <c r="M84" t="str">
        <f t="shared" si="3"/>
        <v>Kerala</v>
      </c>
    </row>
    <row r="85" spans="1:13">
      <c r="A85">
        <v>313511</v>
      </c>
      <c r="B85" t="s">
        <v>1015</v>
      </c>
      <c r="C85" t="s">
        <v>631</v>
      </c>
      <c r="D85" t="s">
        <v>70</v>
      </c>
      <c r="E85" t="s">
        <v>13</v>
      </c>
      <c r="F85">
        <v>9.9769885009999992</v>
      </c>
      <c r="G85">
        <v>76.277810520000003</v>
      </c>
      <c r="H85">
        <v>4</v>
      </c>
      <c r="I85" t="s">
        <v>14</v>
      </c>
      <c r="J85" t="s">
        <v>417</v>
      </c>
      <c r="K85">
        <f>IF(tbl_ChargingStation[[#This Row],[status]]="Operational",1,0)</f>
        <v>1</v>
      </c>
      <c r="L85">
        <f t="shared" si="2"/>
        <v>4</v>
      </c>
      <c r="M85" t="str">
        <f t="shared" si="3"/>
        <v>Kerala</v>
      </c>
    </row>
    <row r="86" spans="1:13">
      <c r="A86">
        <v>313508</v>
      </c>
      <c r="B86" t="s">
        <v>1018</v>
      </c>
      <c r="C86" t="s">
        <v>187</v>
      </c>
      <c r="D86" t="s">
        <v>70</v>
      </c>
      <c r="E86" t="s">
        <v>13</v>
      </c>
      <c r="F86">
        <v>8.4810147019999995</v>
      </c>
      <c r="G86">
        <v>76.91264314</v>
      </c>
      <c r="H86">
        <v>4</v>
      </c>
      <c r="I86" t="s">
        <v>14</v>
      </c>
      <c r="J86" t="s">
        <v>417</v>
      </c>
      <c r="K86">
        <f>IF(tbl_ChargingStation[[#This Row],[status]]="Operational",1,0)</f>
        <v>1</v>
      </c>
      <c r="L86">
        <f t="shared" si="2"/>
        <v>4</v>
      </c>
      <c r="M86" t="str">
        <f t="shared" si="3"/>
        <v>Kerala</v>
      </c>
    </row>
    <row r="87" spans="1:13">
      <c r="A87">
        <v>313491</v>
      </c>
      <c r="B87" t="s">
        <v>1036</v>
      </c>
      <c r="C87" t="s">
        <v>338</v>
      </c>
      <c r="D87" t="s">
        <v>70</v>
      </c>
      <c r="E87" t="s">
        <v>13</v>
      </c>
      <c r="F87">
        <v>8.9154271610000002</v>
      </c>
      <c r="G87">
        <v>76.614868869999995</v>
      </c>
      <c r="H87">
        <v>4</v>
      </c>
      <c r="I87" t="s">
        <v>14</v>
      </c>
      <c r="J87" t="s">
        <v>174</v>
      </c>
      <c r="K87">
        <f>IF(tbl_ChargingStation[[#This Row],[status]]="Operational",1,0)</f>
        <v>1</v>
      </c>
      <c r="L87">
        <f t="shared" si="2"/>
        <v>4</v>
      </c>
      <c r="M87" t="str">
        <f t="shared" si="3"/>
        <v>Kerala</v>
      </c>
    </row>
    <row r="88" spans="1:13">
      <c r="A88">
        <v>313465</v>
      </c>
      <c r="B88" t="s">
        <v>1050</v>
      </c>
      <c r="C88" t="s">
        <v>197</v>
      </c>
      <c r="D88" t="s">
        <v>70</v>
      </c>
      <c r="E88" t="s">
        <v>13</v>
      </c>
      <c r="F88">
        <v>11.248102469999999</v>
      </c>
      <c r="G88">
        <v>75.834135919999994</v>
      </c>
      <c r="H88">
        <v>4</v>
      </c>
      <c r="I88" t="s">
        <v>14</v>
      </c>
      <c r="J88" t="s">
        <v>198</v>
      </c>
      <c r="K88">
        <f>IF(tbl_ChargingStation[[#This Row],[status]]="Operational",1,0)</f>
        <v>1</v>
      </c>
      <c r="L88">
        <f t="shared" si="2"/>
        <v>4</v>
      </c>
      <c r="M88" t="str">
        <f t="shared" si="3"/>
        <v>Kerala</v>
      </c>
    </row>
    <row r="89" spans="1:13">
      <c r="A89">
        <v>479433</v>
      </c>
      <c r="B89" t="s">
        <v>24</v>
      </c>
      <c r="C89" t="s">
        <v>12</v>
      </c>
      <c r="D89" t="s">
        <v>20</v>
      </c>
      <c r="E89" t="s">
        <v>13</v>
      </c>
      <c r="F89">
        <v>22.243666000000001</v>
      </c>
      <c r="G89">
        <v>84.827354</v>
      </c>
      <c r="H89">
        <v>3</v>
      </c>
      <c r="I89" t="s">
        <v>14</v>
      </c>
      <c r="J89" t="s">
        <v>12</v>
      </c>
      <c r="K89">
        <f>IF(tbl_ChargingStation[[#This Row],[status]]="Operational",1,0)</f>
        <v>1</v>
      </c>
      <c r="L89">
        <f t="shared" si="2"/>
        <v>3</v>
      </c>
      <c r="M89" t="str">
        <f t="shared" si="3"/>
        <v>Odisha</v>
      </c>
    </row>
    <row r="90" spans="1:13">
      <c r="A90">
        <v>479407</v>
      </c>
      <c r="B90" t="s">
        <v>24</v>
      </c>
      <c r="C90" t="s">
        <v>12</v>
      </c>
      <c r="D90" t="s">
        <v>20</v>
      </c>
      <c r="E90" t="s">
        <v>13</v>
      </c>
      <c r="F90">
        <v>21.481622999999999</v>
      </c>
      <c r="G90">
        <v>86.906899999999993</v>
      </c>
      <c r="H90">
        <v>3</v>
      </c>
      <c r="I90" t="s">
        <v>14</v>
      </c>
      <c r="J90" t="s">
        <v>12</v>
      </c>
      <c r="K90">
        <f>IF(tbl_ChargingStation[[#This Row],[status]]="Operational",1,0)</f>
        <v>1</v>
      </c>
      <c r="L90">
        <f t="shared" si="2"/>
        <v>3</v>
      </c>
      <c r="M90" t="str">
        <f t="shared" si="3"/>
        <v>Odisha</v>
      </c>
    </row>
    <row r="91" spans="1:13">
      <c r="A91">
        <v>479374</v>
      </c>
      <c r="B91" t="s">
        <v>34</v>
      </c>
      <c r="C91" t="s">
        <v>12</v>
      </c>
      <c r="D91" t="s">
        <v>20</v>
      </c>
      <c r="E91" t="s">
        <v>13</v>
      </c>
      <c r="F91">
        <v>21.296246</v>
      </c>
      <c r="G91">
        <v>82.921301</v>
      </c>
      <c r="H91">
        <v>3</v>
      </c>
      <c r="I91" t="s">
        <v>14</v>
      </c>
      <c r="J91" t="s">
        <v>12</v>
      </c>
      <c r="K91">
        <f>IF(tbl_ChargingStation[[#This Row],[status]]="Operational",1,0)</f>
        <v>1</v>
      </c>
      <c r="L91">
        <f t="shared" si="2"/>
        <v>3</v>
      </c>
      <c r="M91" t="str">
        <f t="shared" si="3"/>
        <v>Odisha</v>
      </c>
    </row>
    <row r="92" spans="1:13">
      <c r="A92">
        <v>479265</v>
      </c>
      <c r="B92" t="s">
        <v>19</v>
      </c>
      <c r="C92" t="s">
        <v>12</v>
      </c>
      <c r="D92" t="s">
        <v>20</v>
      </c>
      <c r="E92" t="s">
        <v>13</v>
      </c>
      <c r="F92">
        <v>20.226997399999998</v>
      </c>
      <c r="G92">
        <v>85.841081000000003</v>
      </c>
      <c r="H92">
        <v>3</v>
      </c>
      <c r="I92" t="s">
        <v>14</v>
      </c>
      <c r="J92" t="s">
        <v>12</v>
      </c>
      <c r="K92">
        <f>IF(tbl_ChargingStation[[#This Row],[status]]="Operational",1,0)</f>
        <v>1</v>
      </c>
      <c r="L92">
        <f t="shared" si="2"/>
        <v>3</v>
      </c>
      <c r="M92" t="str">
        <f t="shared" si="3"/>
        <v>Odisha</v>
      </c>
    </row>
    <row r="93" spans="1:13">
      <c r="A93">
        <v>479261</v>
      </c>
      <c r="B93" t="s">
        <v>19</v>
      </c>
      <c r="C93" t="s">
        <v>12</v>
      </c>
      <c r="D93" t="s">
        <v>20</v>
      </c>
      <c r="E93" t="s">
        <v>13</v>
      </c>
      <c r="F93">
        <v>20.241180100000001</v>
      </c>
      <c r="G93">
        <v>85.759155500000006</v>
      </c>
      <c r="H93">
        <v>3</v>
      </c>
      <c r="I93" t="s">
        <v>14</v>
      </c>
      <c r="J93" t="s">
        <v>12</v>
      </c>
      <c r="K93">
        <f>IF(tbl_ChargingStation[[#This Row],[status]]="Operational",1,0)</f>
        <v>1</v>
      </c>
      <c r="L93">
        <f t="shared" si="2"/>
        <v>3</v>
      </c>
      <c r="M93" t="str">
        <f t="shared" si="3"/>
        <v>Odisha</v>
      </c>
    </row>
    <row r="94" spans="1:13">
      <c r="A94">
        <v>478917</v>
      </c>
      <c r="B94" t="s">
        <v>72</v>
      </c>
      <c r="C94" t="s">
        <v>73</v>
      </c>
      <c r="D94" t="s">
        <v>70</v>
      </c>
      <c r="E94" t="s">
        <v>13</v>
      </c>
      <c r="F94">
        <v>8.3159688329999994</v>
      </c>
      <c r="G94">
        <v>77.090354649999995</v>
      </c>
      <c r="H94">
        <v>3</v>
      </c>
      <c r="I94" t="s">
        <v>14</v>
      </c>
      <c r="J94" t="s">
        <v>71</v>
      </c>
      <c r="K94">
        <f>IF(tbl_ChargingStation[[#This Row],[status]]="Operational",1,0)</f>
        <v>1</v>
      </c>
      <c r="L94">
        <f t="shared" si="2"/>
        <v>3</v>
      </c>
      <c r="M94" t="str">
        <f t="shared" si="3"/>
        <v>Kerala</v>
      </c>
    </row>
    <row r="95" spans="1:13">
      <c r="A95">
        <v>478916</v>
      </c>
      <c r="B95" t="s">
        <v>74</v>
      </c>
      <c r="C95" t="s">
        <v>75</v>
      </c>
      <c r="D95" t="s">
        <v>70</v>
      </c>
      <c r="E95" t="s">
        <v>13</v>
      </c>
      <c r="F95">
        <v>9.4786627719999998</v>
      </c>
      <c r="G95">
        <v>76.844871990000001</v>
      </c>
      <c r="H95">
        <v>3</v>
      </c>
      <c r="I95" t="s">
        <v>14</v>
      </c>
      <c r="J95" t="s">
        <v>71</v>
      </c>
      <c r="K95">
        <f>IF(tbl_ChargingStation[[#This Row],[status]]="Operational",1,0)</f>
        <v>1</v>
      </c>
      <c r="L95">
        <f t="shared" si="2"/>
        <v>3</v>
      </c>
      <c r="M95" t="str">
        <f t="shared" si="3"/>
        <v>Kerala</v>
      </c>
    </row>
    <row r="96" spans="1:13">
      <c r="A96">
        <v>478910</v>
      </c>
      <c r="B96" t="s">
        <v>86</v>
      </c>
      <c r="C96" t="s">
        <v>85</v>
      </c>
      <c r="D96" t="s">
        <v>70</v>
      </c>
      <c r="E96" t="s">
        <v>13</v>
      </c>
      <c r="F96">
        <v>9.8720652770000008</v>
      </c>
      <c r="G96">
        <v>76.596114589999999</v>
      </c>
      <c r="H96">
        <v>3</v>
      </c>
      <c r="I96" t="s">
        <v>14</v>
      </c>
      <c r="J96" t="s">
        <v>71</v>
      </c>
      <c r="K96">
        <f>IF(tbl_ChargingStation[[#This Row],[status]]="Operational",1,0)</f>
        <v>1</v>
      </c>
      <c r="L96">
        <f t="shared" si="2"/>
        <v>3</v>
      </c>
      <c r="M96" t="str">
        <f t="shared" si="3"/>
        <v>Kerala</v>
      </c>
    </row>
    <row r="97" spans="1:13">
      <c r="A97">
        <v>478900</v>
      </c>
      <c r="B97" t="s">
        <v>104</v>
      </c>
      <c r="C97" t="s">
        <v>105</v>
      </c>
      <c r="D97" t="s">
        <v>70</v>
      </c>
      <c r="E97" t="s">
        <v>13</v>
      </c>
      <c r="F97">
        <v>10.203141260000001</v>
      </c>
      <c r="G97">
        <v>76.200400950000002</v>
      </c>
      <c r="H97">
        <v>3</v>
      </c>
      <c r="I97" t="s">
        <v>14</v>
      </c>
      <c r="J97" t="s">
        <v>71</v>
      </c>
      <c r="K97">
        <f>IF(tbl_ChargingStation[[#This Row],[status]]="Operational",1,0)</f>
        <v>1</v>
      </c>
      <c r="L97">
        <f t="shared" si="2"/>
        <v>3</v>
      </c>
      <c r="M97" t="str">
        <f t="shared" si="3"/>
        <v>Kerala</v>
      </c>
    </row>
    <row r="98" spans="1:13">
      <c r="A98">
        <v>478895</v>
      </c>
      <c r="B98" t="s">
        <v>114</v>
      </c>
      <c r="C98" t="s">
        <v>115</v>
      </c>
      <c r="D98" t="s">
        <v>70</v>
      </c>
      <c r="E98" t="s">
        <v>13</v>
      </c>
      <c r="F98">
        <v>10.819635720000001</v>
      </c>
      <c r="G98">
        <v>76.810196910000002</v>
      </c>
      <c r="H98">
        <v>3</v>
      </c>
      <c r="I98" t="s">
        <v>14</v>
      </c>
      <c r="J98" t="s">
        <v>71</v>
      </c>
      <c r="K98">
        <f>IF(tbl_ChargingStation[[#This Row],[status]]="Operational",1,0)</f>
        <v>1</v>
      </c>
      <c r="L98">
        <f t="shared" si="2"/>
        <v>3</v>
      </c>
      <c r="M98" t="str">
        <f t="shared" si="3"/>
        <v>Kerala</v>
      </c>
    </row>
    <row r="99" spans="1:13">
      <c r="A99">
        <v>478887</v>
      </c>
      <c r="B99" t="s">
        <v>128</v>
      </c>
      <c r="C99" t="s">
        <v>129</v>
      </c>
      <c r="D99" t="s">
        <v>70</v>
      </c>
      <c r="E99" t="s">
        <v>13</v>
      </c>
      <c r="F99">
        <v>11.551253689999999</v>
      </c>
      <c r="G99">
        <v>75.746257110000002</v>
      </c>
      <c r="H99">
        <v>3</v>
      </c>
      <c r="I99" t="s">
        <v>14</v>
      </c>
      <c r="J99" t="s">
        <v>71</v>
      </c>
      <c r="K99">
        <f>IF(tbl_ChargingStation[[#This Row],[status]]="Operational",1,0)</f>
        <v>1</v>
      </c>
      <c r="L99">
        <f t="shared" si="2"/>
        <v>3</v>
      </c>
      <c r="M99" t="str">
        <f t="shared" si="3"/>
        <v>Kerala</v>
      </c>
    </row>
    <row r="100" spans="1:13">
      <c r="A100">
        <v>478886</v>
      </c>
      <c r="B100" t="s">
        <v>130</v>
      </c>
      <c r="C100" t="s">
        <v>131</v>
      </c>
      <c r="D100" t="s">
        <v>70</v>
      </c>
      <c r="E100" t="s">
        <v>13</v>
      </c>
      <c r="F100">
        <v>11.881399160000001</v>
      </c>
      <c r="G100">
        <v>75.501313769999996</v>
      </c>
      <c r="H100">
        <v>3</v>
      </c>
      <c r="I100" t="s">
        <v>14</v>
      </c>
      <c r="J100" t="s">
        <v>71</v>
      </c>
      <c r="K100">
        <f>IF(tbl_ChargingStation[[#This Row],[status]]="Operational",1,0)</f>
        <v>1</v>
      </c>
      <c r="L100">
        <f t="shared" si="2"/>
        <v>3</v>
      </c>
      <c r="M100" t="str">
        <f t="shared" si="3"/>
        <v>Kerala</v>
      </c>
    </row>
    <row r="101" spans="1:13">
      <c r="A101">
        <v>474559</v>
      </c>
      <c r="B101" t="s">
        <v>283</v>
      </c>
      <c r="C101" t="s">
        <v>284</v>
      </c>
      <c r="D101" t="s">
        <v>70</v>
      </c>
      <c r="E101" t="s">
        <v>13</v>
      </c>
      <c r="F101">
        <v>10.0364764</v>
      </c>
      <c r="G101">
        <v>76.418650339999999</v>
      </c>
      <c r="H101">
        <v>3</v>
      </c>
      <c r="I101" t="s">
        <v>14</v>
      </c>
      <c r="J101" t="s">
        <v>174</v>
      </c>
      <c r="K101">
        <f>IF(tbl_ChargingStation[[#This Row],[status]]="Operational",1,0)</f>
        <v>1</v>
      </c>
      <c r="L101">
        <f t="shared" si="2"/>
        <v>3</v>
      </c>
      <c r="M101" t="str">
        <f t="shared" si="3"/>
        <v>Kerala</v>
      </c>
    </row>
    <row r="102" spans="1:13">
      <c r="A102">
        <v>474468</v>
      </c>
      <c r="B102" t="s">
        <v>339</v>
      </c>
      <c r="C102" t="s">
        <v>340</v>
      </c>
      <c r="D102" t="s">
        <v>12</v>
      </c>
      <c r="E102" t="s">
        <v>13</v>
      </c>
      <c r="F102">
        <v>8.7139741789999992</v>
      </c>
      <c r="G102">
        <v>76.779719069999999</v>
      </c>
      <c r="H102">
        <v>3</v>
      </c>
      <c r="I102" t="s">
        <v>14</v>
      </c>
      <c r="J102" t="s">
        <v>174</v>
      </c>
      <c r="K102">
        <f>IF(tbl_ChargingStation[[#This Row],[status]]="Operational",1,0)</f>
        <v>1</v>
      </c>
      <c r="L102">
        <f t="shared" si="2"/>
        <v>3</v>
      </c>
      <c r="M102" t="str">
        <f t="shared" si="3"/>
        <v>Unknown</v>
      </c>
    </row>
    <row r="103" spans="1:13">
      <c r="A103">
        <v>313918</v>
      </c>
      <c r="B103" t="s">
        <v>547</v>
      </c>
      <c r="C103" t="s">
        <v>187</v>
      </c>
      <c r="D103" t="s">
        <v>70</v>
      </c>
      <c r="E103" t="s">
        <v>13</v>
      </c>
      <c r="F103">
        <v>8.3532086480000007</v>
      </c>
      <c r="G103">
        <v>77.053790120000002</v>
      </c>
      <c r="H103">
        <v>3</v>
      </c>
      <c r="I103" t="s">
        <v>14</v>
      </c>
      <c r="J103" t="s">
        <v>71</v>
      </c>
      <c r="K103">
        <f>IF(tbl_ChargingStation[[#This Row],[status]]="Operational",1,0)</f>
        <v>1</v>
      </c>
      <c r="L103">
        <f t="shared" si="2"/>
        <v>3</v>
      </c>
      <c r="M103" t="str">
        <f t="shared" si="3"/>
        <v>Kerala</v>
      </c>
    </row>
    <row r="104" spans="1:13">
      <c r="A104">
        <v>313909</v>
      </c>
      <c r="B104" t="s">
        <v>559</v>
      </c>
      <c r="C104" t="s">
        <v>560</v>
      </c>
      <c r="D104" t="s">
        <v>70</v>
      </c>
      <c r="E104" t="s">
        <v>13</v>
      </c>
      <c r="F104">
        <v>8.8634269900000007</v>
      </c>
      <c r="G104">
        <v>76.871207839999997</v>
      </c>
      <c r="H104">
        <v>3</v>
      </c>
      <c r="I104" t="s">
        <v>14</v>
      </c>
      <c r="J104" t="s">
        <v>71</v>
      </c>
      <c r="K104">
        <f>IF(tbl_ChargingStation[[#This Row],[status]]="Operational",1,0)</f>
        <v>1</v>
      </c>
      <c r="L104">
        <f t="shared" si="2"/>
        <v>3</v>
      </c>
      <c r="M104" t="str">
        <f t="shared" si="3"/>
        <v>Kerala</v>
      </c>
    </row>
    <row r="105" spans="1:13">
      <c r="A105">
        <v>313902</v>
      </c>
      <c r="B105" t="s">
        <v>573</v>
      </c>
      <c r="C105" t="s">
        <v>326</v>
      </c>
      <c r="D105" t="s">
        <v>70</v>
      </c>
      <c r="E105" t="s">
        <v>13</v>
      </c>
      <c r="F105">
        <v>9.1168470490000004</v>
      </c>
      <c r="G105">
        <v>76.745111879999996</v>
      </c>
      <c r="H105">
        <v>3</v>
      </c>
      <c r="I105" t="s">
        <v>14</v>
      </c>
      <c r="J105" t="s">
        <v>71</v>
      </c>
      <c r="K105">
        <f>IF(tbl_ChargingStation[[#This Row],[status]]="Operational",1,0)</f>
        <v>1</v>
      </c>
      <c r="L105">
        <f t="shared" si="2"/>
        <v>3</v>
      </c>
      <c r="M105" t="str">
        <f t="shared" si="3"/>
        <v>Kerala</v>
      </c>
    </row>
    <row r="106" spans="1:13">
      <c r="A106">
        <v>313900</v>
      </c>
      <c r="B106" t="s">
        <v>575</v>
      </c>
      <c r="C106" t="s">
        <v>326</v>
      </c>
      <c r="D106" t="s">
        <v>70</v>
      </c>
      <c r="E106" t="s">
        <v>13</v>
      </c>
      <c r="F106">
        <v>9.1535641539999997</v>
      </c>
      <c r="G106">
        <v>76.735544360000006</v>
      </c>
      <c r="H106">
        <v>3</v>
      </c>
      <c r="I106" t="s">
        <v>14</v>
      </c>
      <c r="J106" t="s">
        <v>71</v>
      </c>
      <c r="K106">
        <f>IF(tbl_ChargingStation[[#This Row],[status]]="Operational",1,0)</f>
        <v>1</v>
      </c>
      <c r="L106">
        <f t="shared" si="2"/>
        <v>3</v>
      </c>
      <c r="M106" t="str">
        <f t="shared" si="3"/>
        <v>Kerala</v>
      </c>
    </row>
    <row r="107" spans="1:13">
      <c r="A107">
        <v>313886</v>
      </c>
      <c r="B107" t="s">
        <v>596</v>
      </c>
      <c r="C107" t="s">
        <v>597</v>
      </c>
      <c r="D107" t="s">
        <v>70</v>
      </c>
      <c r="E107" t="s">
        <v>13</v>
      </c>
      <c r="F107">
        <v>9.580204298</v>
      </c>
      <c r="G107">
        <v>76.970611730000002</v>
      </c>
      <c r="H107">
        <v>3</v>
      </c>
      <c r="I107" t="s">
        <v>14</v>
      </c>
      <c r="J107" t="s">
        <v>71</v>
      </c>
      <c r="K107">
        <f>IF(tbl_ChargingStation[[#This Row],[status]]="Operational",1,0)</f>
        <v>1</v>
      </c>
      <c r="L107">
        <f t="shared" si="2"/>
        <v>3</v>
      </c>
      <c r="M107" t="str">
        <f t="shared" si="3"/>
        <v>Kerala</v>
      </c>
    </row>
    <row r="108" spans="1:13">
      <c r="A108">
        <v>313881</v>
      </c>
      <c r="B108" t="s">
        <v>606</v>
      </c>
      <c r="C108" t="s">
        <v>83</v>
      </c>
      <c r="D108" t="s">
        <v>70</v>
      </c>
      <c r="E108" t="s">
        <v>13</v>
      </c>
      <c r="F108">
        <v>9.6681718290000003</v>
      </c>
      <c r="G108">
        <v>76.575378819999997</v>
      </c>
      <c r="H108">
        <v>3</v>
      </c>
      <c r="I108" t="s">
        <v>14</v>
      </c>
      <c r="J108" t="s">
        <v>71</v>
      </c>
      <c r="K108">
        <f>IF(tbl_ChargingStation[[#This Row],[status]]="Operational",1,0)</f>
        <v>1</v>
      </c>
      <c r="L108">
        <f t="shared" si="2"/>
        <v>3</v>
      </c>
      <c r="M108" t="str">
        <f t="shared" si="3"/>
        <v>Kerala</v>
      </c>
    </row>
    <row r="109" spans="1:13">
      <c r="A109">
        <v>313872</v>
      </c>
      <c r="B109" t="s">
        <v>620</v>
      </c>
      <c r="C109" t="s">
        <v>292</v>
      </c>
      <c r="D109" t="s">
        <v>70</v>
      </c>
      <c r="E109" t="s">
        <v>13</v>
      </c>
      <c r="F109">
        <v>9.6838908020000005</v>
      </c>
      <c r="G109">
        <v>76.333582190000001</v>
      </c>
      <c r="H109">
        <v>3</v>
      </c>
      <c r="I109" t="s">
        <v>14</v>
      </c>
      <c r="J109" t="s">
        <v>71</v>
      </c>
      <c r="K109">
        <f>IF(tbl_ChargingStation[[#This Row],[status]]="Operational",1,0)</f>
        <v>1</v>
      </c>
      <c r="L109">
        <f t="shared" si="2"/>
        <v>3</v>
      </c>
      <c r="M109" t="str">
        <f t="shared" si="3"/>
        <v>Kerala</v>
      </c>
    </row>
    <row r="110" spans="1:13">
      <c r="A110">
        <v>313867</v>
      </c>
      <c r="B110" t="s">
        <v>628</v>
      </c>
      <c r="C110" t="s">
        <v>629</v>
      </c>
      <c r="D110" t="s">
        <v>70</v>
      </c>
      <c r="E110" t="s">
        <v>13</v>
      </c>
      <c r="F110">
        <v>9.947451633</v>
      </c>
      <c r="G110">
        <v>76.303415560000005</v>
      </c>
      <c r="H110">
        <v>3</v>
      </c>
      <c r="I110" t="s">
        <v>14</v>
      </c>
      <c r="J110" t="s">
        <v>71</v>
      </c>
      <c r="K110">
        <f>IF(tbl_ChargingStation[[#This Row],[status]]="Operational",1,0)</f>
        <v>1</v>
      </c>
      <c r="L110">
        <f t="shared" si="2"/>
        <v>3</v>
      </c>
      <c r="M110" t="str">
        <f t="shared" si="3"/>
        <v>Kerala</v>
      </c>
    </row>
    <row r="111" spans="1:13">
      <c r="A111">
        <v>313856</v>
      </c>
      <c r="B111" t="s">
        <v>646</v>
      </c>
      <c r="C111" t="s">
        <v>96</v>
      </c>
      <c r="D111" t="s">
        <v>70</v>
      </c>
      <c r="E111" t="s">
        <v>13</v>
      </c>
      <c r="F111">
        <v>10.116599669999999</v>
      </c>
      <c r="G111">
        <v>76.445699410000003</v>
      </c>
      <c r="H111">
        <v>3</v>
      </c>
      <c r="I111" t="s">
        <v>14</v>
      </c>
      <c r="J111" t="s">
        <v>71</v>
      </c>
      <c r="K111">
        <f>IF(tbl_ChargingStation[[#This Row],[status]]="Operational",1,0)</f>
        <v>1</v>
      </c>
      <c r="L111">
        <f t="shared" si="2"/>
        <v>3</v>
      </c>
      <c r="M111" t="str">
        <f t="shared" si="3"/>
        <v>Kerala</v>
      </c>
    </row>
    <row r="112" spans="1:13">
      <c r="A112">
        <v>313846</v>
      </c>
      <c r="B112" t="s">
        <v>658</v>
      </c>
      <c r="C112" t="s">
        <v>105</v>
      </c>
      <c r="D112" t="s">
        <v>70</v>
      </c>
      <c r="E112" t="s">
        <v>13</v>
      </c>
      <c r="F112">
        <v>10.378135159999999</v>
      </c>
      <c r="G112">
        <v>76.122545389999999</v>
      </c>
      <c r="H112">
        <v>3</v>
      </c>
      <c r="I112" t="s">
        <v>14</v>
      </c>
      <c r="J112" t="s">
        <v>71</v>
      </c>
      <c r="K112">
        <f>IF(tbl_ChargingStation[[#This Row],[status]]="Operational",1,0)</f>
        <v>1</v>
      </c>
      <c r="L112">
        <f t="shared" si="2"/>
        <v>3</v>
      </c>
      <c r="M112" t="str">
        <f t="shared" si="3"/>
        <v>Kerala</v>
      </c>
    </row>
    <row r="113" spans="1:13">
      <c r="A113">
        <v>313838</v>
      </c>
      <c r="B113" t="s">
        <v>662</v>
      </c>
      <c r="C113" t="s">
        <v>663</v>
      </c>
      <c r="D113" t="s">
        <v>70</v>
      </c>
      <c r="E113" t="s">
        <v>13</v>
      </c>
      <c r="F113">
        <v>10.564967490000001</v>
      </c>
      <c r="G113">
        <v>76.165984260000002</v>
      </c>
      <c r="H113">
        <v>3</v>
      </c>
      <c r="I113" t="s">
        <v>14</v>
      </c>
      <c r="J113" t="s">
        <v>71</v>
      </c>
      <c r="K113">
        <f>IF(tbl_ChargingStation[[#This Row],[status]]="Operational",1,0)</f>
        <v>1</v>
      </c>
      <c r="L113">
        <f t="shared" si="2"/>
        <v>3</v>
      </c>
      <c r="M113" t="str">
        <f t="shared" si="3"/>
        <v>Kerala</v>
      </c>
    </row>
    <row r="114" spans="1:13">
      <c r="A114">
        <v>313815</v>
      </c>
      <c r="B114" t="s">
        <v>674</v>
      </c>
      <c r="C114" t="s">
        <v>675</v>
      </c>
      <c r="D114" t="s">
        <v>70</v>
      </c>
      <c r="E114" t="s">
        <v>13</v>
      </c>
      <c r="F114">
        <v>10.82659305</v>
      </c>
      <c r="G114">
        <v>76.82605307</v>
      </c>
      <c r="H114">
        <v>3</v>
      </c>
      <c r="I114" t="s">
        <v>14</v>
      </c>
      <c r="J114" t="s">
        <v>71</v>
      </c>
      <c r="K114">
        <f>IF(tbl_ChargingStation[[#This Row],[status]]="Operational",1,0)</f>
        <v>1</v>
      </c>
      <c r="L114">
        <f t="shared" si="2"/>
        <v>3</v>
      </c>
      <c r="M114" t="str">
        <f t="shared" si="3"/>
        <v>Kerala</v>
      </c>
    </row>
    <row r="115" spans="1:13">
      <c r="A115">
        <v>313814</v>
      </c>
      <c r="B115" t="s">
        <v>676</v>
      </c>
      <c r="C115" t="s">
        <v>264</v>
      </c>
      <c r="D115" t="s">
        <v>70</v>
      </c>
      <c r="E115" t="s">
        <v>13</v>
      </c>
      <c r="F115">
        <v>10.77395725</v>
      </c>
      <c r="G115">
        <v>76.698197410000006</v>
      </c>
      <c r="H115">
        <v>3</v>
      </c>
      <c r="I115" t="s">
        <v>14</v>
      </c>
      <c r="J115" t="s">
        <v>71</v>
      </c>
      <c r="K115">
        <f>IF(tbl_ChargingStation[[#This Row],[status]]="Operational",1,0)</f>
        <v>1</v>
      </c>
      <c r="L115">
        <f t="shared" si="2"/>
        <v>3</v>
      </c>
      <c r="M115" t="str">
        <f t="shared" si="3"/>
        <v>Kerala</v>
      </c>
    </row>
    <row r="116" spans="1:13">
      <c r="A116">
        <v>313813</v>
      </c>
      <c r="B116" t="s">
        <v>677</v>
      </c>
      <c r="C116" t="s">
        <v>678</v>
      </c>
      <c r="D116" t="s">
        <v>70</v>
      </c>
      <c r="E116" t="s">
        <v>13</v>
      </c>
      <c r="F116">
        <v>10.64616636</v>
      </c>
      <c r="G116">
        <v>76.551402390000007</v>
      </c>
      <c r="H116">
        <v>3</v>
      </c>
      <c r="I116" t="s">
        <v>14</v>
      </c>
      <c r="J116" t="s">
        <v>71</v>
      </c>
      <c r="K116">
        <f>IF(tbl_ChargingStation[[#This Row],[status]]="Operational",1,0)</f>
        <v>1</v>
      </c>
      <c r="L116">
        <f t="shared" si="2"/>
        <v>3</v>
      </c>
      <c r="M116" t="str">
        <f t="shared" si="3"/>
        <v>Kerala</v>
      </c>
    </row>
    <row r="117" spans="1:13">
      <c r="A117">
        <v>313804</v>
      </c>
      <c r="B117" t="s">
        <v>692</v>
      </c>
      <c r="C117" t="s">
        <v>693</v>
      </c>
      <c r="D117" t="s">
        <v>70</v>
      </c>
      <c r="E117" t="s">
        <v>13</v>
      </c>
      <c r="F117">
        <v>10.933556619999999</v>
      </c>
      <c r="G117">
        <v>76.527217100000001</v>
      </c>
      <c r="H117">
        <v>3</v>
      </c>
      <c r="I117" t="s">
        <v>14</v>
      </c>
      <c r="J117" t="s">
        <v>71</v>
      </c>
      <c r="K117">
        <f>IF(tbl_ChargingStation[[#This Row],[status]]="Operational",1,0)</f>
        <v>1</v>
      </c>
      <c r="L117">
        <f t="shared" si="2"/>
        <v>3</v>
      </c>
      <c r="M117" t="str">
        <f t="shared" si="3"/>
        <v>Kerala</v>
      </c>
    </row>
    <row r="118" spans="1:13">
      <c r="A118">
        <v>313788</v>
      </c>
      <c r="B118" t="s">
        <v>695</v>
      </c>
      <c r="C118" t="s">
        <v>498</v>
      </c>
      <c r="D118" t="s">
        <v>70</v>
      </c>
      <c r="E118" t="s">
        <v>13</v>
      </c>
      <c r="F118">
        <v>10.873413080000001</v>
      </c>
      <c r="G118">
        <v>76.062458230000004</v>
      </c>
      <c r="H118">
        <v>3</v>
      </c>
      <c r="I118" t="s">
        <v>14</v>
      </c>
      <c r="J118" t="s">
        <v>71</v>
      </c>
      <c r="K118">
        <f>IF(tbl_ChargingStation[[#This Row],[status]]="Operational",1,0)</f>
        <v>1</v>
      </c>
      <c r="L118">
        <f t="shared" si="2"/>
        <v>3</v>
      </c>
      <c r="M118" t="str">
        <f t="shared" si="3"/>
        <v>Kerala</v>
      </c>
    </row>
    <row r="119" spans="1:13">
      <c r="A119">
        <v>313782</v>
      </c>
      <c r="B119" t="s">
        <v>705</v>
      </c>
      <c r="C119" t="s">
        <v>504</v>
      </c>
      <c r="D119" t="s">
        <v>70</v>
      </c>
      <c r="E119" t="s">
        <v>13</v>
      </c>
      <c r="F119">
        <v>11.12891582</v>
      </c>
      <c r="G119">
        <v>76.115394609999996</v>
      </c>
      <c r="H119">
        <v>3</v>
      </c>
      <c r="I119" t="s">
        <v>14</v>
      </c>
      <c r="J119" t="s">
        <v>71</v>
      </c>
      <c r="K119">
        <f>IF(tbl_ChargingStation[[#This Row],[status]]="Operational",1,0)</f>
        <v>1</v>
      </c>
      <c r="L119">
        <f t="shared" si="2"/>
        <v>3</v>
      </c>
      <c r="M119" t="str">
        <f t="shared" si="3"/>
        <v>Kerala</v>
      </c>
    </row>
    <row r="120" spans="1:13">
      <c r="A120">
        <v>313753</v>
      </c>
      <c r="B120" t="s">
        <v>735</v>
      </c>
      <c r="C120" t="s">
        <v>736</v>
      </c>
      <c r="D120" t="s">
        <v>70</v>
      </c>
      <c r="E120" t="s">
        <v>13</v>
      </c>
      <c r="F120">
        <v>12.227200229999999</v>
      </c>
      <c r="G120">
        <v>75.159119939999997</v>
      </c>
      <c r="H120">
        <v>3</v>
      </c>
      <c r="I120" t="s">
        <v>14</v>
      </c>
      <c r="J120" t="s">
        <v>174</v>
      </c>
      <c r="K120">
        <f>IF(tbl_ChargingStation[[#This Row],[status]]="Operational",1,0)</f>
        <v>1</v>
      </c>
      <c r="L120">
        <f t="shared" si="2"/>
        <v>3</v>
      </c>
      <c r="M120" t="str">
        <f t="shared" si="3"/>
        <v>Kerala</v>
      </c>
    </row>
    <row r="121" spans="1:13">
      <c r="A121">
        <v>313752</v>
      </c>
      <c r="B121" t="s">
        <v>737</v>
      </c>
      <c r="C121" t="s">
        <v>738</v>
      </c>
      <c r="D121" t="s">
        <v>70</v>
      </c>
      <c r="E121" t="s">
        <v>13</v>
      </c>
      <c r="F121">
        <v>12.176970150000001</v>
      </c>
      <c r="G121">
        <v>75.246755800000003</v>
      </c>
      <c r="H121">
        <v>3</v>
      </c>
      <c r="I121" t="s">
        <v>14</v>
      </c>
      <c r="J121" t="s">
        <v>174</v>
      </c>
      <c r="K121">
        <f>IF(tbl_ChargingStation[[#This Row],[status]]="Operational",1,0)</f>
        <v>1</v>
      </c>
      <c r="L121">
        <f t="shared" si="2"/>
        <v>3</v>
      </c>
      <c r="M121" t="str">
        <f t="shared" si="3"/>
        <v>Kerala</v>
      </c>
    </row>
    <row r="122" spans="1:13">
      <c r="A122">
        <v>313748</v>
      </c>
      <c r="B122" t="s">
        <v>743</v>
      </c>
      <c r="C122" t="s">
        <v>79</v>
      </c>
      <c r="D122" t="s">
        <v>70</v>
      </c>
      <c r="E122" t="s">
        <v>13</v>
      </c>
      <c r="F122">
        <v>10.0873794</v>
      </c>
      <c r="G122">
        <v>77.061699630000007</v>
      </c>
      <c r="H122">
        <v>3</v>
      </c>
      <c r="I122" t="s">
        <v>14</v>
      </c>
      <c r="J122" t="s">
        <v>174</v>
      </c>
      <c r="K122">
        <f>IF(tbl_ChargingStation[[#This Row],[status]]="Operational",1,0)</f>
        <v>1</v>
      </c>
      <c r="L122">
        <f t="shared" si="2"/>
        <v>3</v>
      </c>
      <c r="M122" t="str">
        <f t="shared" si="3"/>
        <v>Kerala</v>
      </c>
    </row>
    <row r="123" spans="1:13">
      <c r="A123">
        <v>313690</v>
      </c>
      <c r="B123" t="s">
        <v>829</v>
      </c>
      <c r="C123" t="s">
        <v>192</v>
      </c>
      <c r="D123" t="s">
        <v>70</v>
      </c>
      <c r="E123" t="s">
        <v>13</v>
      </c>
      <c r="F123">
        <v>10.616626589999999</v>
      </c>
      <c r="G123">
        <v>76.125783920000003</v>
      </c>
      <c r="H123">
        <v>3</v>
      </c>
      <c r="I123" t="s">
        <v>14</v>
      </c>
      <c r="J123" t="s">
        <v>174</v>
      </c>
      <c r="K123">
        <f>IF(tbl_ChargingStation[[#This Row],[status]]="Operational",1,0)</f>
        <v>1</v>
      </c>
      <c r="L123">
        <f t="shared" si="2"/>
        <v>3</v>
      </c>
      <c r="M123" t="str">
        <f t="shared" si="3"/>
        <v>Kerala</v>
      </c>
    </row>
    <row r="124" spans="1:13">
      <c r="A124">
        <v>313662</v>
      </c>
      <c r="B124" t="s">
        <v>853</v>
      </c>
      <c r="C124" t="s">
        <v>854</v>
      </c>
      <c r="D124" t="s">
        <v>70</v>
      </c>
      <c r="E124" t="s">
        <v>13</v>
      </c>
      <c r="F124">
        <v>10.476826920000001</v>
      </c>
      <c r="G124">
        <v>76.257581849999994</v>
      </c>
      <c r="H124">
        <v>3</v>
      </c>
      <c r="I124" t="s">
        <v>14</v>
      </c>
      <c r="J124" t="s">
        <v>174</v>
      </c>
      <c r="K124">
        <f>IF(tbl_ChargingStation[[#This Row],[status]]="Operational",1,0)</f>
        <v>1</v>
      </c>
      <c r="L124">
        <f t="shared" si="2"/>
        <v>3</v>
      </c>
      <c r="M124" t="str">
        <f t="shared" si="3"/>
        <v>Kerala</v>
      </c>
    </row>
    <row r="125" spans="1:13">
      <c r="A125">
        <v>313634</v>
      </c>
      <c r="B125" t="s">
        <v>884</v>
      </c>
      <c r="C125" t="s">
        <v>882</v>
      </c>
      <c r="D125" t="s">
        <v>70</v>
      </c>
      <c r="E125" t="s">
        <v>13</v>
      </c>
      <c r="F125">
        <v>10.05245925</v>
      </c>
      <c r="G125">
        <v>76.314656299999996</v>
      </c>
      <c r="H125">
        <v>3</v>
      </c>
      <c r="I125" t="s">
        <v>14</v>
      </c>
      <c r="J125" t="s">
        <v>174</v>
      </c>
      <c r="K125">
        <f>IF(tbl_ChargingStation[[#This Row],[status]]="Operational",1,0)</f>
        <v>1</v>
      </c>
      <c r="L125">
        <f t="shared" si="2"/>
        <v>3</v>
      </c>
      <c r="M125" t="str">
        <f t="shared" si="3"/>
        <v>Kerala</v>
      </c>
    </row>
    <row r="126" spans="1:13">
      <c r="A126">
        <v>313606</v>
      </c>
      <c r="B126" t="s">
        <v>919</v>
      </c>
      <c r="C126" t="s">
        <v>85</v>
      </c>
      <c r="D126" t="s">
        <v>920</v>
      </c>
      <c r="E126" t="s">
        <v>13</v>
      </c>
      <c r="F126">
        <v>9.8565625039999993</v>
      </c>
      <c r="G126">
        <v>76.596569799999997</v>
      </c>
      <c r="H126">
        <v>3</v>
      </c>
      <c r="I126" t="s">
        <v>14</v>
      </c>
      <c r="J126" t="s">
        <v>174</v>
      </c>
      <c r="K126">
        <f>IF(tbl_ChargingStation[[#This Row],[status]]="Operational",1,0)</f>
        <v>1</v>
      </c>
      <c r="L126">
        <f t="shared" si="2"/>
        <v>3</v>
      </c>
      <c r="M126" t="str">
        <f t="shared" si="3"/>
        <v>Kerala</v>
      </c>
    </row>
    <row r="127" spans="1:13">
      <c r="A127">
        <v>313593</v>
      </c>
      <c r="B127" t="s">
        <v>937</v>
      </c>
      <c r="C127" t="s">
        <v>308</v>
      </c>
      <c r="D127" t="s">
        <v>70</v>
      </c>
      <c r="E127" t="s">
        <v>13</v>
      </c>
      <c r="F127">
        <v>9.6843039869999998</v>
      </c>
      <c r="G127">
        <v>76.895482639999997</v>
      </c>
      <c r="H127">
        <v>3</v>
      </c>
      <c r="I127" t="s">
        <v>14</v>
      </c>
      <c r="J127" t="s">
        <v>174</v>
      </c>
      <c r="K127">
        <f>IF(tbl_ChargingStation[[#This Row],[status]]="Operational",1,0)</f>
        <v>1</v>
      </c>
      <c r="L127">
        <f t="shared" si="2"/>
        <v>3</v>
      </c>
      <c r="M127" t="str">
        <f t="shared" si="3"/>
        <v>Kerala</v>
      </c>
    </row>
    <row r="128" spans="1:13">
      <c r="A128">
        <v>313579</v>
      </c>
      <c r="B128" t="s">
        <v>955</v>
      </c>
      <c r="C128" t="s">
        <v>316</v>
      </c>
      <c r="D128" t="s">
        <v>70</v>
      </c>
      <c r="E128" t="s">
        <v>13</v>
      </c>
      <c r="F128">
        <v>9.4522503259999997</v>
      </c>
      <c r="G128">
        <v>76.547238899999996</v>
      </c>
      <c r="H128">
        <v>3</v>
      </c>
      <c r="I128" t="s">
        <v>14</v>
      </c>
      <c r="J128" t="s">
        <v>174</v>
      </c>
      <c r="K128">
        <f>IF(tbl_ChargingStation[[#This Row],[status]]="Operational",1,0)</f>
        <v>1</v>
      </c>
      <c r="L128">
        <f t="shared" si="2"/>
        <v>3</v>
      </c>
      <c r="M128" t="str">
        <f t="shared" si="3"/>
        <v>Kerala</v>
      </c>
    </row>
    <row r="129" spans="1:13">
      <c r="A129">
        <v>313576</v>
      </c>
      <c r="B129" t="s">
        <v>958</v>
      </c>
      <c r="C129" t="s">
        <v>959</v>
      </c>
      <c r="D129" t="s">
        <v>70</v>
      </c>
      <c r="E129" t="s">
        <v>13</v>
      </c>
      <c r="F129">
        <v>9.3675258800000005</v>
      </c>
      <c r="G129">
        <v>76.49951806</v>
      </c>
      <c r="H129">
        <v>3</v>
      </c>
      <c r="I129" t="s">
        <v>14</v>
      </c>
      <c r="J129" t="s">
        <v>174</v>
      </c>
      <c r="K129">
        <f>IF(tbl_ChargingStation[[#This Row],[status]]="Operational",1,0)</f>
        <v>1</v>
      </c>
      <c r="L129">
        <f t="shared" si="2"/>
        <v>3</v>
      </c>
      <c r="M129" t="str">
        <f t="shared" si="3"/>
        <v>Kerala</v>
      </c>
    </row>
    <row r="130" spans="1:13">
      <c r="A130">
        <v>313557</v>
      </c>
      <c r="B130" t="s">
        <v>968</v>
      </c>
      <c r="C130" t="s">
        <v>587</v>
      </c>
      <c r="D130" t="s">
        <v>70</v>
      </c>
      <c r="E130" t="s">
        <v>13</v>
      </c>
      <c r="F130">
        <v>9.3012934020000007</v>
      </c>
      <c r="G130">
        <v>76.63077878</v>
      </c>
      <c r="H130">
        <v>3</v>
      </c>
      <c r="I130" t="s">
        <v>14</v>
      </c>
      <c r="J130" t="s">
        <v>174</v>
      </c>
      <c r="K130">
        <f>IF(tbl_ChargingStation[[#This Row],[status]]="Operational",1,0)</f>
        <v>1</v>
      </c>
      <c r="L130">
        <f t="shared" ref="L130:L193" si="4">H130*K130</f>
        <v>3</v>
      </c>
      <c r="M130" t="str">
        <f t="shared" ref="M130:M193" si="5">IF(D130="GJ","Gujarat",IF(OR(D130="Keral",D130="Keraka",D130="Lerala"),"Kerala",IF(D130="MH","Maharashtra",IF(D130="MP","Madhya Pradesh",IF(D130="RJ","Rajasthan",IF(D130="TAMILNADU","Tamil Nadu",IF(D130="Uttarakhnad","Uttarakhand",D130)))))))</f>
        <v>Kerala</v>
      </c>
    </row>
    <row r="131" spans="1:13">
      <c r="A131">
        <v>313529</v>
      </c>
      <c r="B131" t="s">
        <v>1003</v>
      </c>
      <c r="C131" t="s">
        <v>538</v>
      </c>
      <c r="D131" t="s">
        <v>70</v>
      </c>
      <c r="E131" t="s">
        <v>13</v>
      </c>
      <c r="F131">
        <v>11.7952321</v>
      </c>
      <c r="G131">
        <v>75.490218900000002</v>
      </c>
      <c r="H131">
        <v>3</v>
      </c>
      <c r="I131" t="s">
        <v>14</v>
      </c>
      <c r="J131" t="s">
        <v>417</v>
      </c>
      <c r="K131">
        <f>IF(tbl_ChargingStation[[#This Row],[status]]="Operational",1,0)</f>
        <v>1</v>
      </c>
      <c r="L131">
        <f t="shared" si="4"/>
        <v>3</v>
      </c>
      <c r="M131" t="str">
        <f t="shared" si="5"/>
        <v>Kerala</v>
      </c>
    </row>
    <row r="132" spans="1:13">
      <c r="A132">
        <v>313528</v>
      </c>
      <c r="B132" t="s">
        <v>1004</v>
      </c>
      <c r="C132" t="s">
        <v>1005</v>
      </c>
      <c r="D132" t="s">
        <v>70</v>
      </c>
      <c r="E132" t="s">
        <v>13</v>
      </c>
      <c r="F132">
        <v>11.58636489</v>
      </c>
      <c r="G132">
        <v>75.593220340000002</v>
      </c>
      <c r="H132">
        <v>3</v>
      </c>
      <c r="I132" t="s">
        <v>14</v>
      </c>
      <c r="J132" t="s">
        <v>417</v>
      </c>
      <c r="K132">
        <f>IF(tbl_ChargingStation[[#This Row],[status]]="Operational",1,0)</f>
        <v>1</v>
      </c>
      <c r="L132">
        <f t="shared" si="4"/>
        <v>3</v>
      </c>
      <c r="M132" t="str">
        <f t="shared" si="5"/>
        <v>Kerala</v>
      </c>
    </row>
    <row r="133" spans="1:13">
      <c r="A133">
        <v>313527</v>
      </c>
      <c r="B133" t="s">
        <v>1006</v>
      </c>
      <c r="C133" t="s">
        <v>259</v>
      </c>
      <c r="D133" t="s">
        <v>70</v>
      </c>
      <c r="E133" t="s">
        <v>13</v>
      </c>
      <c r="F133">
        <v>10.97506931</v>
      </c>
      <c r="G133">
        <v>76.222283279999999</v>
      </c>
      <c r="H133">
        <v>3</v>
      </c>
      <c r="I133" t="s">
        <v>14</v>
      </c>
      <c r="J133" t="s">
        <v>417</v>
      </c>
      <c r="K133">
        <f>IF(tbl_ChargingStation[[#This Row],[status]]="Operational",1,0)</f>
        <v>1</v>
      </c>
      <c r="L133">
        <f t="shared" si="4"/>
        <v>3</v>
      </c>
      <c r="M133" t="str">
        <f t="shared" si="5"/>
        <v>Kerala</v>
      </c>
    </row>
    <row r="134" spans="1:13">
      <c r="A134">
        <v>313526</v>
      </c>
      <c r="B134" t="s">
        <v>1007</v>
      </c>
      <c r="C134" t="s">
        <v>693</v>
      </c>
      <c r="D134" t="s">
        <v>711</v>
      </c>
      <c r="E134" t="s">
        <v>13</v>
      </c>
      <c r="F134">
        <v>10.989259260000001</v>
      </c>
      <c r="G134">
        <v>76.537012140000002</v>
      </c>
      <c r="H134">
        <v>3</v>
      </c>
      <c r="I134" t="s">
        <v>14</v>
      </c>
      <c r="J134" t="s">
        <v>417</v>
      </c>
      <c r="K134">
        <f>IF(tbl_ChargingStation[[#This Row],[status]]="Operational",1,0)</f>
        <v>1</v>
      </c>
      <c r="L134">
        <f t="shared" si="4"/>
        <v>3</v>
      </c>
      <c r="M134" t="str">
        <f t="shared" si="5"/>
        <v>Kerala</v>
      </c>
    </row>
    <row r="135" spans="1:13">
      <c r="A135">
        <v>313525</v>
      </c>
      <c r="B135" t="s">
        <v>1008</v>
      </c>
      <c r="C135" t="s">
        <v>577</v>
      </c>
      <c r="D135" t="s">
        <v>1009</v>
      </c>
      <c r="E135" t="s">
        <v>13</v>
      </c>
      <c r="F135">
        <v>9.1490219550000003</v>
      </c>
      <c r="G135">
        <v>76.512918229999997</v>
      </c>
      <c r="H135">
        <v>3</v>
      </c>
      <c r="I135" t="s">
        <v>14</v>
      </c>
      <c r="J135" t="s">
        <v>417</v>
      </c>
      <c r="K135">
        <f>IF(tbl_ChargingStation[[#This Row],[status]]="Operational",1,0)</f>
        <v>1</v>
      </c>
      <c r="L135">
        <f t="shared" si="4"/>
        <v>3</v>
      </c>
      <c r="M135" t="str">
        <f t="shared" si="5"/>
        <v>Kerala</v>
      </c>
    </row>
    <row r="136" spans="1:13">
      <c r="A136">
        <v>313515</v>
      </c>
      <c r="B136" t="s">
        <v>1010</v>
      </c>
      <c r="C136" t="s">
        <v>1011</v>
      </c>
      <c r="D136" t="s">
        <v>70</v>
      </c>
      <c r="E136" t="s">
        <v>13</v>
      </c>
      <c r="F136">
        <v>10.78101644</v>
      </c>
      <c r="G136">
        <v>76.278327660000002</v>
      </c>
      <c r="H136">
        <v>3</v>
      </c>
      <c r="I136" t="s">
        <v>14</v>
      </c>
      <c r="J136" t="s">
        <v>417</v>
      </c>
      <c r="K136">
        <f>IF(tbl_ChargingStation[[#This Row],[status]]="Operational",1,0)</f>
        <v>1</v>
      </c>
      <c r="L136">
        <f t="shared" si="4"/>
        <v>3</v>
      </c>
      <c r="M136" t="str">
        <f t="shared" si="5"/>
        <v>Kerala</v>
      </c>
    </row>
    <row r="137" spans="1:13">
      <c r="A137">
        <v>313514</v>
      </c>
      <c r="B137" t="s">
        <v>1012</v>
      </c>
      <c r="C137" t="s">
        <v>169</v>
      </c>
      <c r="D137" t="s">
        <v>70</v>
      </c>
      <c r="E137" t="s">
        <v>13</v>
      </c>
      <c r="F137">
        <v>10.60158189</v>
      </c>
      <c r="G137">
        <v>76.214882309999993</v>
      </c>
      <c r="H137">
        <v>3</v>
      </c>
      <c r="I137" t="s">
        <v>14</v>
      </c>
      <c r="J137" t="s">
        <v>417</v>
      </c>
      <c r="K137">
        <f>IF(tbl_ChargingStation[[#This Row],[status]]="Operational",1,0)</f>
        <v>1</v>
      </c>
      <c r="L137">
        <f t="shared" si="4"/>
        <v>3</v>
      </c>
      <c r="M137" t="str">
        <f t="shared" si="5"/>
        <v>Kerala</v>
      </c>
    </row>
    <row r="138" spans="1:13">
      <c r="A138">
        <v>313513</v>
      </c>
      <c r="B138" t="s">
        <v>1013</v>
      </c>
      <c r="C138" t="s">
        <v>264</v>
      </c>
      <c r="D138" t="s">
        <v>70</v>
      </c>
      <c r="E138" t="s">
        <v>13</v>
      </c>
      <c r="F138">
        <v>10.69295155</v>
      </c>
      <c r="G138">
        <v>76.726262079999998</v>
      </c>
      <c r="H138">
        <v>3</v>
      </c>
      <c r="I138" t="s">
        <v>14</v>
      </c>
      <c r="J138" t="s">
        <v>417</v>
      </c>
      <c r="K138">
        <f>IF(tbl_ChargingStation[[#This Row],[status]]="Operational",1,0)</f>
        <v>1</v>
      </c>
      <c r="L138">
        <f t="shared" si="4"/>
        <v>3</v>
      </c>
      <c r="M138" t="str">
        <f t="shared" si="5"/>
        <v>Kerala</v>
      </c>
    </row>
    <row r="139" spans="1:13">
      <c r="A139">
        <v>313512</v>
      </c>
      <c r="B139" t="s">
        <v>1014</v>
      </c>
      <c r="C139" t="s">
        <v>304</v>
      </c>
      <c r="D139" t="s">
        <v>70</v>
      </c>
      <c r="E139" t="s">
        <v>13</v>
      </c>
      <c r="F139">
        <v>9.8490565090000004</v>
      </c>
      <c r="G139">
        <v>76.977403710000004</v>
      </c>
      <c r="H139">
        <v>3</v>
      </c>
      <c r="I139" t="s">
        <v>14</v>
      </c>
      <c r="J139" t="s">
        <v>417</v>
      </c>
      <c r="K139">
        <f>IF(tbl_ChargingStation[[#This Row],[status]]="Operational",1,0)</f>
        <v>1</v>
      </c>
      <c r="L139">
        <f t="shared" si="4"/>
        <v>3</v>
      </c>
      <c r="M139" t="str">
        <f t="shared" si="5"/>
        <v>Kerala</v>
      </c>
    </row>
    <row r="140" spans="1:13">
      <c r="A140">
        <v>313510</v>
      </c>
      <c r="B140" t="s">
        <v>1016</v>
      </c>
      <c r="C140" t="s">
        <v>292</v>
      </c>
      <c r="D140" t="s">
        <v>70</v>
      </c>
      <c r="E140" t="s">
        <v>13</v>
      </c>
      <c r="F140">
        <v>9.6337001299999994</v>
      </c>
      <c r="G140">
        <v>76.333722449999996</v>
      </c>
      <c r="H140">
        <v>3</v>
      </c>
      <c r="I140" t="s">
        <v>14</v>
      </c>
      <c r="J140" t="s">
        <v>417</v>
      </c>
      <c r="K140">
        <f>IF(tbl_ChargingStation[[#This Row],[status]]="Operational",1,0)</f>
        <v>1</v>
      </c>
      <c r="L140">
        <f t="shared" si="4"/>
        <v>3</v>
      </c>
      <c r="M140" t="str">
        <f t="shared" si="5"/>
        <v>Kerala</v>
      </c>
    </row>
    <row r="141" spans="1:13">
      <c r="A141">
        <v>313509</v>
      </c>
      <c r="B141" t="s">
        <v>1017</v>
      </c>
      <c r="C141" t="s">
        <v>585</v>
      </c>
      <c r="D141" t="s">
        <v>70</v>
      </c>
      <c r="E141" t="s">
        <v>13</v>
      </c>
      <c r="F141">
        <v>9.2187886920000004</v>
      </c>
      <c r="G141">
        <v>76.748753980000004</v>
      </c>
      <c r="H141">
        <v>3</v>
      </c>
      <c r="I141" t="s">
        <v>14</v>
      </c>
      <c r="J141" t="s">
        <v>417</v>
      </c>
      <c r="K141">
        <f>IF(tbl_ChargingStation[[#This Row],[status]]="Operational",1,0)</f>
        <v>1</v>
      </c>
      <c r="L141">
        <f t="shared" si="4"/>
        <v>3</v>
      </c>
      <c r="M141" t="str">
        <f t="shared" si="5"/>
        <v>Kerala</v>
      </c>
    </row>
    <row r="142" spans="1:13">
      <c r="A142">
        <v>313497</v>
      </c>
      <c r="B142" t="s">
        <v>1030</v>
      </c>
      <c r="C142" t="s">
        <v>304</v>
      </c>
      <c r="D142" t="s">
        <v>70</v>
      </c>
      <c r="E142" t="s">
        <v>13</v>
      </c>
      <c r="F142">
        <v>9.8926595400000004</v>
      </c>
      <c r="G142">
        <v>76.71176414</v>
      </c>
      <c r="H142">
        <v>3</v>
      </c>
      <c r="I142" t="s">
        <v>14</v>
      </c>
      <c r="J142" t="s">
        <v>174</v>
      </c>
      <c r="K142">
        <f>IF(tbl_ChargingStation[[#This Row],[status]]="Operational",1,0)</f>
        <v>1</v>
      </c>
      <c r="L142">
        <f t="shared" si="4"/>
        <v>3</v>
      </c>
      <c r="M142" t="str">
        <f t="shared" si="5"/>
        <v>Kerala</v>
      </c>
    </row>
    <row r="143" spans="1:13">
      <c r="A143">
        <v>313489</v>
      </c>
      <c r="B143" t="s">
        <v>1038</v>
      </c>
      <c r="C143" t="s">
        <v>562</v>
      </c>
      <c r="D143" t="s">
        <v>70</v>
      </c>
      <c r="E143" t="s">
        <v>13</v>
      </c>
      <c r="F143">
        <v>8.7375483559999996</v>
      </c>
      <c r="G143">
        <v>76.707898009999994</v>
      </c>
      <c r="H143">
        <v>3</v>
      </c>
      <c r="I143" t="s">
        <v>14</v>
      </c>
      <c r="J143" t="s">
        <v>174</v>
      </c>
      <c r="K143">
        <f>IF(tbl_ChargingStation[[#This Row],[status]]="Operational",1,0)</f>
        <v>1</v>
      </c>
      <c r="L143">
        <f t="shared" si="4"/>
        <v>3</v>
      </c>
      <c r="M143" t="str">
        <f t="shared" si="5"/>
        <v>Kerala</v>
      </c>
    </row>
    <row r="144" spans="1:13">
      <c r="A144">
        <v>313472</v>
      </c>
      <c r="B144" t="s">
        <v>1042</v>
      </c>
      <c r="C144" t="s">
        <v>1043</v>
      </c>
      <c r="D144" t="s">
        <v>70</v>
      </c>
      <c r="E144" t="s">
        <v>13</v>
      </c>
      <c r="F144">
        <v>11.78788559</v>
      </c>
      <c r="G144">
        <v>75.533021050000002</v>
      </c>
      <c r="H144">
        <v>3</v>
      </c>
      <c r="I144" t="s">
        <v>14</v>
      </c>
      <c r="J144" t="s">
        <v>198</v>
      </c>
      <c r="K144">
        <f>IF(tbl_ChargingStation[[#This Row],[status]]="Operational",1,0)</f>
        <v>1</v>
      </c>
      <c r="L144">
        <f t="shared" si="4"/>
        <v>3</v>
      </c>
      <c r="M144" t="str">
        <f t="shared" si="5"/>
        <v>Kerala</v>
      </c>
    </row>
    <row r="145" spans="1:13">
      <c r="A145">
        <v>313464</v>
      </c>
      <c r="B145" t="s">
        <v>1051</v>
      </c>
      <c r="C145" t="s">
        <v>197</v>
      </c>
      <c r="D145" t="s">
        <v>70</v>
      </c>
      <c r="E145" t="s">
        <v>13</v>
      </c>
      <c r="F145">
        <v>11.247016159999999</v>
      </c>
      <c r="G145">
        <v>75.834678640000007</v>
      </c>
      <c r="H145">
        <v>3</v>
      </c>
      <c r="I145" t="s">
        <v>14</v>
      </c>
      <c r="J145" t="s">
        <v>198</v>
      </c>
      <c r="K145">
        <f>IF(tbl_ChargingStation[[#This Row],[status]]="Operational",1,0)</f>
        <v>1</v>
      </c>
      <c r="L145">
        <f t="shared" si="4"/>
        <v>3</v>
      </c>
      <c r="M145" t="str">
        <f t="shared" si="5"/>
        <v>Kerala</v>
      </c>
    </row>
    <row r="146" spans="1:13">
      <c r="A146">
        <v>313447</v>
      </c>
      <c r="B146" t="s">
        <v>1067</v>
      </c>
      <c r="C146" t="s">
        <v>1068</v>
      </c>
      <c r="D146" t="s">
        <v>70</v>
      </c>
      <c r="E146" t="s">
        <v>13</v>
      </c>
      <c r="F146">
        <v>10.024160419999999</v>
      </c>
      <c r="G146">
        <v>76.308711930000001</v>
      </c>
      <c r="H146">
        <v>3</v>
      </c>
      <c r="I146" t="s">
        <v>14</v>
      </c>
      <c r="J146" t="s">
        <v>198</v>
      </c>
      <c r="K146">
        <f>IF(tbl_ChargingStation[[#This Row],[status]]="Operational",1,0)</f>
        <v>1</v>
      </c>
      <c r="L146">
        <f t="shared" si="4"/>
        <v>3</v>
      </c>
      <c r="M146" t="str">
        <f t="shared" si="5"/>
        <v>Kerala</v>
      </c>
    </row>
    <row r="147" spans="1:13">
      <c r="A147">
        <v>479437</v>
      </c>
      <c r="B147" t="s">
        <v>21</v>
      </c>
      <c r="C147" t="s">
        <v>12</v>
      </c>
      <c r="D147" t="s">
        <v>20</v>
      </c>
      <c r="E147" t="s">
        <v>13</v>
      </c>
      <c r="F147">
        <v>22.4497441</v>
      </c>
      <c r="G147">
        <v>86.594943700000002</v>
      </c>
      <c r="H147">
        <v>2</v>
      </c>
      <c r="I147" t="s">
        <v>14</v>
      </c>
      <c r="J147" t="s">
        <v>12</v>
      </c>
      <c r="K147">
        <f>IF(tbl_ChargingStation[[#This Row],[status]]="Operational",1,0)</f>
        <v>1</v>
      </c>
      <c r="L147">
        <f t="shared" si="4"/>
        <v>2</v>
      </c>
      <c r="M147" t="str">
        <f t="shared" si="5"/>
        <v>Odisha</v>
      </c>
    </row>
    <row r="148" spans="1:13">
      <c r="A148">
        <v>479429</v>
      </c>
      <c r="B148" t="s">
        <v>25</v>
      </c>
      <c r="C148" t="s">
        <v>12</v>
      </c>
      <c r="D148" t="s">
        <v>20</v>
      </c>
      <c r="E148" t="s">
        <v>13</v>
      </c>
      <c r="F148">
        <v>22.227812499999999</v>
      </c>
      <c r="G148">
        <v>84.818387400000006</v>
      </c>
      <c r="H148">
        <v>2</v>
      </c>
      <c r="I148" t="s">
        <v>14</v>
      </c>
      <c r="J148" t="s">
        <v>12</v>
      </c>
      <c r="K148">
        <f>IF(tbl_ChargingStation[[#This Row],[status]]="Operational",1,0)</f>
        <v>1</v>
      </c>
      <c r="L148">
        <f t="shared" si="4"/>
        <v>2</v>
      </c>
      <c r="M148" t="str">
        <f t="shared" si="5"/>
        <v>Odisha</v>
      </c>
    </row>
    <row r="149" spans="1:13">
      <c r="A149">
        <v>479414</v>
      </c>
      <c r="B149" t="s">
        <v>31</v>
      </c>
      <c r="C149" t="s">
        <v>12</v>
      </c>
      <c r="D149" t="s">
        <v>20</v>
      </c>
      <c r="E149" t="s">
        <v>13</v>
      </c>
      <c r="F149">
        <v>21.8069144</v>
      </c>
      <c r="G149">
        <v>82.752529300000006</v>
      </c>
      <c r="H149">
        <v>2</v>
      </c>
      <c r="I149" t="s">
        <v>14</v>
      </c>
      <c r="J149" t="s">
        <v>12</v>
      </c>
      <c r="K149">
        <f>IF(tbl_ChargingStation[[#This Row],[status]]="Operational",1,0)</f>
        <v>1</v>
      </c>
      <c r="L149">
        <f t="shared" si="4"/>
        <v>2</v>
      </c>
      <c r="M149" t="str">
        <f t="shared" si="5"/>
        <v>Odisha</v>
      </c>
    </row>
    <row r="150" spans="1:13">
      <c r="A150">
        <v>479406</v>
      </c>
      <c r="B150" t="s">
        <v>25</v>
      </c>
      <c r="C150" t="s">
        <v>12</v>
      </c>
      <c r="D150" t="s">
        <v>20</v>
      </c>
      <c r="E150" t="s">
        <v>13</v>
      </c>
      <c r="F150">
        <v>21.498719999999999</v>
      </c>
      <c r="G150">
        <v>86.931079999999994</v>
      </c>
      <c r="H150">
        <v>2</v>
      </c>
      <c r="I150" t="s">
        <v>14</v>
      </c>
      <c r="J150" t="s">
        <v>12</v>
      </c>
      <c r="K150">
        <f>IF(tbl_ChargingStation[[#This Row],[status]]="Operational",1,0)</f>
        <v>1</v>
      </c>
      <c r="L150">
        <f t="shared" si="4"/>
        <v>2</v>
      </c>
      <c r="M150" t="str">
        <f t="shared" si="5"/>
        <v>Odisha</v>
      </c>
    </row>
    <row r="151" spans="1:13">
      <c r="A151">
        <v>479396</v>
      </c>
      <c r="B151" t="s">
        <v>24</v>
      </c>
      <c r="C151" t="s">
        <v>12</v>
      </c>
      <c r="D151" t="s">
        <v>20</v>
      </c>
      <c r="E151" t="s">
        <v>13</v>
      </c>
      <c r="F151">
        <v>21.467634</v>
      </c>
      <c r="G151">
        <v>83.977264000000005</v>
      </c>
      <c r="H151">
        <v>2</v>
      </c>
      <c r="I151" t="s">
        <v>14</v>
      </c>
      <c r="J151" t="s">
        <v>12</v>
      </c>
      <c r="K151">
        <f>IF(tbl_ChargingStation[[#This Row],[status]]="Operational",1,0)</f>
        <v>1</v>
      </c>
      <c r="L151">
        <f t="shared" si="4"/>
        <v>2</v>
      </c>
      <c r="M151" t="str">
        <f t="shared" si="5"/>
        <v>Odisha</v>
      </c>
    </row>
    <row r="152" spans="1:13">
      <c r="A152">
        <v>479389</v>
      </c>
      <c r="B152" t="s">
        <v>24</v>
      </c>
      <c r="C152" t="s">
        <v>12</v>
      </c>
      <c r="D152" t="s">
        <v>20</v>
      </c>
      <c r="E152" t="s">
        <v>13</v>
      </c>
      <c r="F152">
        <v>21.516079999999999</v>
      </c>
      <c r="G152">
        <v>81.693889999999996</v>
      </c>
      <c r="H152">
        <v>2</v>
      </c>
      <c r="I152" t="s">
        <v>14</v>
      </c>
      <c r="J152" t="s">
        <v>12</v>
      </c>
      <c r="K152">
        <f>IF(tbl_ChargingStation[[#This Row],[status]]="Operational",1,0)</f>
        <v>1</v>
      </c>
      <c r="L152">
        <f t="shared" si="4"/>
        <v>2</v>
      </c>
      <c r="M152" t="str">
        <f t="shared" si="5"/>
        <v>Odisha</v>
      </c>
    </row>
    <row r="153" spans="1:13">
      <c r="A153">
        <v>479355</v>
      </c>
      <c r="B153" t="s">
        <v>28</v>
      </c>
      <c r="C153" t="s">
        <v>12</v>
      </c>
      <c r="D153" t="s">
        <v>20</v>
      </c>
      <c r="E153" t="s">
        <v>13</v>
      </c>
      <c r="F153">
        <v>21.235067099999998</v>
      </c>
      <c r="G153">
        <v>81.630900199999999</v>
      </c>
      <c r="H153">
        <v>2</v>
      </c>
      <c r="I153" t="s">
        <v>14</v>
      </c>
      <c r="J153" t="s">
        <v>12</v>
      </c>
      <c r="K153">
        <f>IF(tbl_ChargingStation[[#This Row],[status]]="Operational",1,0)</f>
        <v>1</v>
      </c>
      <c r="L153">
        <f t="shared" si="4"/>
        <v>2</v>
      </c>
      <c r="M153" t="str">
        <f t="shared" si="5"/>
        <v>Odisha</v>
      </c>
    </row>
    <row r="154" spans="1:13">
      <c r="A154">
        <v>479353</v>
      </c>
      <c r="B154" t="s">
        <v>25</v>
      </c>
      <c r="C154" t="s">
        <v>12</v>
      </c>
      <c r="D154" t="s">
        <v>20</v>
      </c>
      <c r="E154" t="s">
        <v>13</v>
      </c>
      <c r="F154">
        <v>21.225601000000001</v>
      </c>
      <c r="G154">
        <v>81.656052299999999</v>
      </c>
      <c r="H154">
        <v>2</v>
      </c>
      <c r="I154" t="s">
        <v>14</v>
      </c>
      <c r="J154" t="s">
        <v>12</v>
      </c>
      <c r="K154">
        <f>IF(tbl_ChargingStation[[#This Row],[status]]="Operational",1,0)</f>
        <v>1</v>
      </c>
      <c r="L154">
        <f t="shared" si="4"/>
        <v>2</v>
      </c>
      <c r="M154" t="str">
        <f t="shared" si="5"/>
        <v>Odisha</v>
      </c>
    </row>
    <row r="155" spans="1:13">
      <c r="A155">
        <v>479352</v>
      </c>
      <c r="B155" t="s">
        <v>19</v>
      </c>
      <c r="C155" t="s">
        <v>12</v>
      </c>
      <c r="D155" t="s">
        <v>20</v>
      </c>
      <c r="E155" t="s">
        <v>13</v>
      </c>
      <c r="F155">
        <v>21.255368300000001</v>
      </c>
      <c r="G155">
        <v>81.629453100000006</v>
      </c>
      <c r="H155">
        <v>2</v>
      </c>
      <c r="I155" t="s">
        <v>14</v>
      </c>
      <c r="J155" t="s">
        <v>12</v>
      </c>
      <c r="K155">
        <f>IF(tbl_ChargingStation[[#This Row],[status]]="Operational",1,0)</f>
        <v>1</v>
      </c>
      <c r="L155">
        <f t="shared" si="4"/>
        <v>2</v>
      </c>
      <c r="M155" t="str">
        <f t="shared" si="5"/>
        <v>Odisha</v>
      </c>
    </row>
    <row r="156" spans="1:13">
      <c r="A156">
        <v>479317</v>
      </c>
      <c r="B156" t="s">
        <v>19</v>
      </c>
      <c r="C156" t="s">
        <v>12</v>
      </c>
      <c r="D156" t="s">
        <v>20</v>
      </c>
      <c r="E156" t="s">
        <v>13</v>
      </c>
      <c r="F156">
        <v>20.8450685</v>
      </c>
      <c r="G156">
        <v>85.116202599999994</v>
      </c>
      <c r="H156">
        <v>2</v>
      </c>
      <c r="I156" t="s">
        <v>14</v>
      </c>
      <c r="J156" t="s">
        <v>12</v>
      </c>
      <c r="K156">
        <f>IF(tbl_ChargingStation[[#This Row],[status]]="Operational",1,0)</f>
        <v>1</v>
      </c>
      <c r="L156">
        <f t="shared" si="4"/>
        <v>2</v>
      </c>
      <c r="M156" t="str">
        <f t="shared" si="5"/>
        <v>Odisha</v>
      </c>
    </row>
    <row r="157" spans="1:13">
      <c r="A157">
        <v>479291</v>
      </c>
      <c r="B157" t="s">
        <v>19</v>
      </c>
      <c r="C157" t="s">
        <v>12</v>
      </c>
      <c r="D157" t="s">
        <v>20</v>
      </c>
      <c r="E157" t="s">
        <v>13</v>
      </c>
      <c r="F157">
        <v>20.405161100000001</v>
      </c>
      <c r="G157">
        <v>85.879807700000001</v>
      </c>
      <c r="H157">
        <v>2</v>
      </c>
      <c r="I157" t="s">
        <v>14</v>
      </c>
      <c r="J157" t="s">
        <v>12</v>
      </c>
      <c r="K157">
        <f>IF(tbl_ChargingStation[[#This Row],[status]]="Operational",1,0)</f>
        <v>1</v>
      </c>
      <c r="L157">
        <f t="shared" si="4"/>
        <v>2</v>
      </c>
      <c r="M157" t="str">
        <f t="shared" si="5"/>
        <v>Odisha</v>
      </c>
    </row>
    <row r="158" spans="1:13">
      <c r="A158">
        <v>479284</v>
      </c>
      <c r="B158" t="s">
        <v>24</v>
      </c>
      <c r="C158" t="s">
        <v>12</v>
      </c>
      <c r="D158" t="s">
        <v>20</v>
      </c>
      <c r="E158" t="s">
        <v>13</v>
      </c>
      <c r="F158">
        <v>20.260697400000002</v>
      </c>
      <c r="G158">
        <v>86.201643700000005</v>
      </c>
      <c r="H158">
        <v>2</v>
      </c>
      <c r="I158" t="s">
        <v>14</v>
      </c>
      <c r="J158" t="s">
        <v>12</v>
      </c>
      <c r="K158">
        <f>IF(tbl_ChargingStation[[#This Row],[status]]="Operational",1,0)</f>
        <v>1</v>
      </c>
      <c r="L158">
        <f t="shared" si="4"/>
        <v>2</v>
      </c>
      <c r="M158" t="str">
        <f t="shared" si="5"/>
        <v>Odisha</v>
      </c>
    </row>
    <row r="159" spans="1:13">
      <c r="A159">
        <v>479279</v>
      </c>
      <c r="B159" t="s">
        <v>24</v>
      </c>
      <c r="C159" t="s">
        <v>12</v>
      </c>
      <c r="D159" t="s">
        <v>20</v>
      </c>
      <c r="E159" t="s">
        <v>13</v>
      </c>
      <c r="F159">
        <v>20.256187000000001</v>
      </c>
      <c r="G159">
        <v>85.786837500000004</v>
      </c>
      <c r="H159">
        <v>2</v>
      </c>
      <c r="I159" t="s">
        <v>14</v>
      </c>
      <c r="J159" t="s">
        <v>12</v>
      </c>
      <c r="K159">
        <f>IF(tbl_ChargingStation[[#This Row],[status]]="Operational",1,0)</f>
        <v>1</v>
      </c>
      <c r="L159">
        <f t="shared" si="4"/>
        <v>2</v>
      </c>
      <c r="M159" t="str">
        <f t="shared" si="5"/>
        <v>Odisha</v>
      </c>
    </row>
    <row r="160" spans="1:13">
      <c r="A160">
        <v>479276</v>
      </c>
      <c r="B160" t="s">
        <v>48</v>
      </c>
      <c r="C160" t="s">
        <v>12</v>
      </c>
      <c r="D160" t="s">
        <v>20</v>
      </c>
      <c r="E160" t="s">
        <v>13</v>
      </c>
      <c r="F160">
        <v>20.291476299999999</v>
      </c>
      <c r="G160">
        <v>85.856012199999995</v>
      </c>
      <c r="H160">
        <v>2</v>
      </c>
      <c r="I160" t="s">
        <v>14</v>
      </c>
      <c r="J160" t="s">
        <v>12</v>
      </c>
      <c r="K160">
        <f>IF(tbl_ChargingStation[[#This Row],[status]]="Operational",1,0)</f>
        <v>1</v>
      </c>
      <c r="L160">
        <f t="shared" si="4"/>
        <v>2</v>
      </c>
      <c r="M160" t="str">
        <f t="shared" si="5"/>
        <v>Odisha</v>
      </c>
    </row>
    <row r="161" spans="1:13">
      <c r="A161">
        <v>479273</v>
      </c>
      <c r="B161" t="s">
        <v>48</v>
      </c>
      <c r="C161" t="s">
        <v>12</v>
      </c>
      <c r="D161" t="s">
        <v>20</v>
      </c>
      <c r="E161" t="s">
        <v>13</v>
      </c>
      <c r="F161">
        <v>20.245771999999999</v>
      </c>
      <c r="G161">
        <v>85.783043000000006</v>
      </c>
      <c r="H161">
        <v>2</v>
      </c>
      <c r="I161" t="s">
        <v>14</v>
      </c>
      <c r="J161" t="s">
        <v>12</v>
      </c>
      <c r="K161">
        <f>IF(tbl_ChargingStation[[#This Row],[status]]="Operational",1,0)</f>
        <v>1</v>
      </c>
      <c r="L161">
        <f t="shared" si="4"/>
        <v>2</v>
      </c>
      <c r="M161" t="str">
        <f t="shared" si="5"/>
        <v>Odisha</v>
      </c>
    </row>
    <row r="162" spans="1:13">
      <c r="A162">
        <v>479272</v>
      </c>
      <c r="B162" t="s">
        <v>19</v>
      </c>
      <c r="C162" t="s">
        <v>12</v>
      </c>
      <c r="D162" t="s">
        <v>20</v>
      </c>
      <c r="E162" t="s">
        <v>13</v>
      </c>
      <c r="F162">
        <v>20.259014000000001</v>
      </c>
      <c r="G162">
        <v>85.839705899999998</v>
      </c>
      <c r="H162">
        <v>2</v>
      </c>
      <c r="I162" t="s">
        <v>14</v>
      </c>
      <c r="J162" t="s">
        <v>12</v>
      </c>
      <c r="K162">
        <f>IF(tbl_ChargingStation[[#This Row],[status]]="Operational",1,0)</f>
        <v>1</v>
      </c>
      <c r="L162">
        <f t="shared" si="4"/>
        <v>2</v>
      </c>
      <c r="M162" t="str">
        <f t="shared" si="5"/>
        <v>Odisha</v>
      </c>
    </row>
    <row r="163" spans="1:13">
      <c r="A163">
        <v>479269</v>
      </c>
      <c r="B163" t="s">
        <v>34</v>
      </c>
      <c r="C163" t="s">
        <v>12</v>
      </c>
      <c r="D163" t="s">
        <v>20</v>
      </c>
      <c r="E163" t="s">
        <v>13</v>
      </c>
      <c r="F163">
        <v>20.2529878</v>
      </c>
      <c r="G163">
        <v>85.818779000000006</v>
      </c>
      <c r="H163">
        <v>2</v>
      </c>
      <c r="I163" t="s">
        <v>14</v>
      </c>
      <c r="J163" t="s">
        <v>12</v>
      </c>
      <c r="K163">
        <f>IF(tbl_ChargingStation[[#This Row],[status]]="Operational",1,0)</f>
        <v>1</v>
      </c>
      <c r="L163">
        <f t="shared" si="4"/>
        <v>2</v>
      </c>
      <c r="M163" t="str">
        <f t="shared" si="5"/>
        <v>Odisha</v>
      </c>
    </row>
    <row r="164" spans="1:13">
      <c r="A164">
        <v>479266</v>
      </c>
      <c r="B164" t="s">
        <v>29</v>
      </c>
      <c r="C164" t="s">
        <v>12</v>
      </c>
      <c r="D164" t="s">
        <v>20</v>
      </c>
      <c r="E164" t="s">
        <v>13</v>
      </c>
      <c r="F164">
        <v>20.254729999999999</v>
      </c>
      <c r="G164">
        <v>85.787240999999995</v>
      </c>
      <c r="H164">
        <v>2</v>
      </c>
      <c r="I164" t="s">
        <v>14</v>
      </c>
      <c r="J164" t="s">
        <v>12</v>
      </c>
      <c r="K164">
        <f>IF(tbl_ChargingStation[[#This Row],[status]]="Operational",1,0)</f>
        <v>1</v>
      </c>
      <c r="L164">
        <f t="shared" si="4"/>
        <v>2</v>
      </c>
      <c r="M164" t="str">
        <f t="shared" si="5"/>
        <v>Odisha</v>
      </c>
    </row>
    <row r="165" spans="1:13">
      <c r="A165">
        <v>479262</v>
      </c>
      <c r="B165" t="s">
        <v>48</v>
      </c>
      <c r="C165" t="s">
        <v>12</v>
      </c>
      <c r="D165" t="s">
        <v>20</v>
      </c>
      <c r="E165" t="s">
        <v>13</v>
      </c>
      <c r="F165">
        <v>20.205642999999998</v>
      </c>
      <c r="G165">
        <v>85.644065999999995</v>
      </c>
      <c r="H165">
        <v>2</v>
      </c>
      <c r="I165" t="s">
        <v>14</v>
      </c>
      <c r="J165" t="s">
        <v>12</v>
      </c>
      <c r="K165">
        <f>IF(tbl_ChargingStation[[#This Row],[status]]="Operational",1,0)</f>
        <v>1</v>
      </c>
      <c r="L165">
        <f t="shared" si="4"/>
        <v>2</v>
      </c>
      <c r="M165" t="str">
        <f t="shared" si="5"/>
        <v>Odisha</v>
      </c>
    </row>
    <row r="166" spans="1:13">
      <c r="A166">
        <v>479260</v>
      </c>
      <c r="B166" t="s">
        <v>19</v>
      </c>
      <c r="C166" t="s">
        <v>12</v>
      </c>
      <c r="D166" t="s">
        <v>20</v>
      </c>
      <c r="E166" t="s">
        <v>13</v>
      </c>
      <c r="F166">
        <v>20.238164999999999</v>
      </c>
      <c r="G166">
        <v>85.756642999999997</v>
      </c>
      <c r="H166">
        <v>2</v>
      </c>
      <c r="I166" t="s">
        <v>14</v>
      </c>
      <c r="J166" t="s">
        <v>12</v>
      </c>
      <c r="K166">
        <f>IF(tbl_ChargingStation[[#This Row],[status]]="Operational",1,0)</f>
        <v>1</v>
      </c>
      <c r="L166">
        <f t="shared" si="4"/>
        <v>2</v>
      </c>
      <c r="M166" t="str">
        <f t="shared" si="5"/>
        <v>Odisha</v>
      </c>
    </row>
    <row r="167" spans="1:13">
      <c r="A167">
        <v>479255</v>
      </c>
      <c r="B167" t="s">
        <v>19</v>
      </c>
      <c r="C167" t="s">
        <v>12</v>
      </c>
      <c r="D167" t="s">
        <v>20</v>
      </c>
      <c r="E167" t="s">
        <v>13</v>
      </c>
      <c r="F167">
        <v>20.230607800000001</v>
      </c>
      <c r="G167">
        <v>85.737670699999995</v>
      </c>
      <c r="H167">
        <v>2</v>
      </c>
      <c r="I167" t="s">
        <v>14</v>
      </c>
      <c r="J167" t="s">
        <v>12</v>
      </c>
      <c r="K167">
        <f>IF(tbl_ChargingStation[[#This Row],[status]]="Operational",1,0)</f>
        <v>1</v>
      </c>
      <c r="L167">
        <f t="shared" si="4"/>
        <v>2</v>
      </c>
      <c r="M167" t="str">
        <f t="shared" si="5"/>
        <v>Odisha</v>
      </c>
    </row>
    <row r="168" spans="1:13">
      <c r="A168">
        <v>479247</v>
      </c>
      <c r="B168" t="s">
        <v>29</v>
      </c>
      <c r="C168" t="s">
        <v>12</v>
      </c>
      <c r="D168" t="s">
        <v>20</v>
      </c>
      <c r="E168" t="s">
        <v>13</v>
      </c>
      <c r="F168">
        <v>20.3013862</v>
      </c>
      <c r="G168">
        <v>82.751643299999998</v>
      </c>
      <c r="H168">
        <v>2</v>
      </c>
      <c r="I168" t="s">
        <v>14</v>
      </c>
      <c r="J168" t="s">
        <v>12</v>
      </c>
      <c r="K168">
        <f>IF(tbl_ChargingStation[[#This Row],[status]]="Operational",1,0)</f>
        <v>1</v>
      </c>
      <c r="L168">
        <f t="shared" si="4"/>
        <v>2</v>
      </c>
      <c r="M168" t="str">
        <f t="shared" si="5"/>
        <v>Odisha</v>
      </c>
    </row>
    <row r="169" spans="1:13">
      <c r="A169">
        <v>479239</v>
      </c>
      <c r="B169" t="s">
        <v>19</v>
      </c>
      <c r="C169" t="s">
        <v>12</v>
      </c>
      <c r="D169" t="s">
        <v>20</v>
      </c>
      <c r="E169" t="s">
        <v>13</v>
      </c>
      <c r="F169">
        <v>19.8373153</v>
      </c>
      <c r="G169">
        <v>85.836626600000002</v>
      </c>
      <c r="H169">
        <v>2</v>
      </c>
      <c r="I169" t="s">
        <v>14</v>
      </c>
      <c r="J169" t="s">
        <v>12</v>
      </c>
      <c r="K169">
        <f>IF(tbl_ChargingStation[[#This Row],[status]]="Operational",1,0)</f>
        <v>1</v>
      </c>
      <c r="L169">
        <f t="shared" si="4"/>
        <v>2</v>
      </c>
      <c r="M169" t="str">
        <f t="shared" si="5"/>
        <v>Odisha</v>
      </c>
    </row>
    <row r="170" spans="1:13">
      <c r="A170">
        <v>479219</v>
      </c>
      <c r="B170" t="s">
        <v>29</v>
      </c>
      <c r="C170" t="s">
        <v>12</v>
      </c>
      <c r="D170" t="s">
        <v>20</v>
      </c>
      <c r="E170" t="s">
        <v>13</v>
      </c>
      <c r="F170">
        <v>19.749316</v>
      </c>
      <c r="G170">
        <v>85.207598000000004</v>
      </c>
      <c r="H170">
        <v>2</v>
      </c>
      <c r="I170" t="s">
        <v>14</v>
      </c>
      <c r="J170" t="s">
        <v>12</v>
      </c>
      <c r="K170">
        <f>IF(tbl_ChargingStation[[#This Row],[status]]="Operational",1,0)</f>
        <v>1</v>
      </c>
      <c r="L170">
        <f t="shared" si="4"/>
        <v>2</v>
      </c>
      <c r="M170" t="str">
        <f t="shared" si="5"/>
        <v>Odisha</v>
      </c>
    </row>
    <row r="171" spans="1:13">
      <c r="A171">
        <v>479207</v>
      </c>
      <c r="B171" t="s">
        <v>19</v>
      </c>
      <c r="C171" t="s">
        <v>12</v>
      </c>
      <c r="D171" t="s">
        <v>20</v>
      </c>
      <c r="E171" t="s">
        <v>13</v>
      </c>
      <c r="F171">
        <v>19.315211000000001</v>
      </c>
      <c r="G171">
        <v>84.858143999999996</v>
      </c>
      <c r="H171">
        <v>2</v>
      </c>
      <c r="I171" t="s">
        <v>14</v>
      </c>
      <c r="J171" t="s">
        <v>12</v>
      </c>
      <c r="K171">
        <f>IF(tbl_ChargingStation[[#This Row],[status]]="Operational",1,0)</f>
        <v>1</v>
      </c>
      <c r="L171">
        <f t="shared" si="4"/>
        <v>2</v>
      </c>
      <c r="M171" t="str">
        <f t="shared" si="5"/>
        <v>Odisha</v>
      </c>
    </row>
    <row r="172" spans="1:13">
      <c r="A172">
        <v>479187</v>
      </c>
      <c r="B172" t="s">
        <v>29</v>
      </c>
      <c r="C172" t="s">
        <v>12</v>
      </c>
      <c r="D172" t="s">
        <v>20</v>
      </c>
      <c r="E172" t="s">
        <v>13</v>
      </c>
      <c r="F172">
        <v>18.84732</v>
      </c>
      <c r="G172">
        <v>82.565171000000007</v>
      </c>
      <c r="H172">
        <v>2</v>
      </c>
      <c r="I172" t="s">
        <v>14</v>
      </c>
      <c r="J172" t="s">
        <v>12</v>
      </c>
      <c r="K172">
        <f>IF(tbl_ChargingStation[[#This Row],[status]]="Operational",1,0)</f>
        <v>1</v>
      </c>
      <c r="L172">
        <f t="shared" si="4"/>
        <v>2</v>
      </c>
      <c r="M172" t="str">
        <f t="shared" si="5"/>
        <v>Odisha</v>
      </c>
    </row>
    <row r="173" spans="1:13">
      <c r="A173">
        <v>479129</v>
      </c>
      <c r="B173" t="s">
        <v>29</v>
      </c>
      <c r="C173" t="s">
        <v>12</v>
      </c>
      <c r="D173" t="s">
        <v>20</v>
      </c>
      <c r="E173" t="s">
        <v>13</v>
      </c>
      <c r="F173">
        <v>19.749316</v>
      </c>
      <c r="G173">
        <v>85.207598000000004</v>
      </c>
      <c r="H173">
        <v>2</v>
      </c>
      <c r="I173" t="s">
        <v>14</v>
      </c>
      <c r="J173" t="s">
        <v>12</v>
      </c>
      <c r="K173">
        <f>IF(tbl_ChargingStation[[#This Row],[status]]="Operational",1,0)</f>
        <v>1</v>
      </c>
      <c r="L173">
        <f t="shared" si="4"/>
        <v>2</v>
      </c>
      <c r="M173" t="str">
        <f t="shared" si="5"/>
        <v>Odisha</v>
      </c>
    </row>
    <row r="174" spans="1:13">
      <c r="A174">
        <v>479117</v>
      </c>
      <c r="B174" t="s">
        <v>19</v>
      </c>
      <c r="C174" t="s">
        <v>12</v>
      </c>
      <c r="D174" t="s">
        <v>20</v>
      </c>
      <c r="E174" t="s">
        <v>13</v>
      </c>
      <c r="F174">
        <v>19.315211000000001</v>
      </c>
      <c r="G174">
        <v>84.858143999999996</v>
      </c>
      <c r="H174">
        <v>2</v>
      </c>
      <c r="I174" t="s">
        <v>14</v>
      </c>
      <c r="J174" t="s">
        <v>12</v>
      </c>
      <c r="K174">
        <f>IF(tbl_ChargingStation[[#This Row],[status]]="Operational",1,0)</f>
        <v>1</v>
      </c>
      <c r="L174">
        <f t="shared" si="4"/>
        <v>2</v>
      </c>
      <c r="M174" t="str">
        <f t="shared" si="5"/>
        <v>Odisha</v>
      </c>
    </row>
    <row r="175" spans="1:13">
      <c r="A175">
        <v>479097</v>
      </c>
      <c r="B175" t="s">
        <v>29</v>
      </c>
      <c r="C175" t="s">
        <v>12</v>
      </c>
      <c r="D175" t="s">
        <v>20</v>
      </c>
      <c r="E175" t="s">
        <v>13</v>
      </c>
      <c r="F175">
        <v>18.84732</v>
      </c>
      <c r="G175">
        <v>82.565171000000007</v>
      </c>
      <c r="H175">
        <v>2</v>
      </c>
      <c r="I175" t="s">
        <v>14</v>
      </c>
      <c r="J175" t="s">
        <v>12</v>
      </c>
      <c r="K175">
        <f>IF(tbl_ChargingStation[[#This Row],[status]]="Operational",1,0)</f>
        <v>1</v>
      </c>
      <c r="L175">
        <f t="shared" si="4"/>
        <v>2</v>
      </c>
      <c r="M175" t="str">
        <f t="shared" si="5"/>
        <v>Odisha</v>
      </c>
    </row>
    <row r="176" spans="1:13">
      <c r="A176">
        <v>478918</v>
      </c>
      <c r="B176" t="s">
        <v>68</v>
      </c>
      <c r="C176" t="s">
        <v>69</v>
      </c>
      <c r="D176" t="s">
        <v>70</v>
      </c>
      <c r="E176" t="s">
        <v>13</v>
      </c>
      <c r="F176">
        <v>8.5034954799999998</v>
      </c>
      <c r="G176">
        <v>76.911661640000005</v>
      </c>
      <c r="H176">
        <v>2</v>
      </c>
      <c r="I176" t="s">
        <v>14</v>
      </c>
      <c r="J176" t="s">
        <v>71</v>
      </c>
      <c r="K176">
        <f>IF(tbl_ChargingStation[[#This Row],[status]]="Operational",1,0)</f>
        <v>1</v>
      </c>
      <c r="L176">
        <f t="shared" si="4"/>
        <v>2</v>
      </c>
      <c r="M176" t="str">
        <f t="shared" si="5"/>
        <v>Kerala</v>
      </c>
    </row>
    <row r="177" spans="1:13">
      <c r="A177">
        <v>478915</v>
      </c>
      <c r="B177" t="s">
        <v>76</v>
      </c>
      <c r="C177" t="s">
        <v>77</v>
      </c>
      <c r="D177" t="s">
        <v>70</v>
      </c>
      <c r="E177" t="s">
        <v>13</v>
      </c>
      <c r="F177">
        <v>10.0141442</v>
      </c>
      <c r="G177">
        <v>76.943829969999996</v>
      </c>
      <c r="H177">
        <v>2</v>
      </c>
      <c r="I177" t="s">
        <v>14</v>
      </c>
      <c r="J177" t="s">
        <v>71</v>
      </c>
      <c r="K177">
        <f>IF(tbl_ChargingStation[[#This Row],[status]]="Operational",1,0)</f>
        <v>1</v>
      </c>
      <c r="L177">
        <f t="shared" si="4"/>
        <v>2</v>
      </c>
      <c r="M177" t="str">
        <f t="shared" si="5"/>
        <v>Kerala</v>
      </c>
    </row>
    <row r="178" spans="1:13">
      <c r="A178">
        <v>478914</v>
      </c>
      <c r="B178" t="s">
        <v>78</v>
      </c>
      <c r="C178" t="s">
        <v>79</v>
      </c>
      <c r="D178" t="s">
        <v>70</v>
      </c>
      <c r="E178" t="s">
        <v>13</v>
      </c>
      <c r="F178">
        <v>10.069936650000001</v>
      </c>
      <c r="G178">
        <v>77.060941940000006</v>
      </c>
      <c r="H178">
        <v>2</v>
      </c>
      <c r="I178" t="s">
        <v>14</v>
      </c>
      <c r="J178" t="s">
        <v>71</v>
      </c>
      <c r="K178">
        <f>IF(tbl_ChargingStation[[#This Row],[status]]="Operational",1,0)</f>
        <v>1</v>
      </c>
      <c r="L178">
        <f t="shared" si="4"/>
        <v>2</v>
      </c>
      <c r="M178" t="str">
        <f t="shared" si="5"/>
        <v>Kerala</v>
      </c>
    </row>
    <row r="179" spans="1:13">
      <c r="A179">
        <v>478913</v>
      </c>
      <c r="B179" t="s">
        <v>80</v>
      </c>
      <c r="C179" t="s">
        <v>81</v>
      </c>
      <c r="D179" t="s">
        <v>70</v>
      </c>
      <c r="E179" t="s">
        <v>13</v>
      </c>
      <c r="F179">
        <v>9.7027619749999996</v>
      </c>
      <c r="G179">
        <v>76.721193749999998</v>
      </c>
      <c r="H179">
        <v>2</v>
      </c>
      <c r="I179" t="s">
        <v>14</v>
      </c>
      <c r="J179" t="s">
        <v>71</v>
      </c>
      <c r="K179">
        <f>IF(tbl_ChargingStation[[#This Row],[status]]="Operational",1,0)</f>
        <v>1</v>
      </c>
      <c r="L179">
        <f t="shared" si="4"/>
        <v>2</v>
      </c>
      <c r="M179" t="str">
        <f t="shared" si="5"/>
        <v>Kerala</v>
      </c>
    </row>
    <row r="180" spans="1:13">
      <c r="A180">
        <v>478912</v>
      </c>
      <c r="B180" t="s">
        <v>82</v>
      </c>
      <c r="C180" t="s">
        <v>83</v>
      </c>
      <c r="D180" t="s">
        <v>70</v>
      </c>
      <c r="E180" t="s">
        <v>13</v>
      </c>
      <c r="F180">
        <v>9.6925764290000007</v>
      </c>
      <c r="G180">
        <v>76.55969005</v>
      </c>
      <c r="H180">
        <v>2</v>
      </c>
      <c r="I180" t="s">
        <v>14</v>
      </c>
      <c r="J180" t="s">
        <v>71</v>
      </c>
      <c r="K180">
        <f>IF(tbl_ChargingStation[[#This Row],[status]]="Operational",1,0)</f>
        <v>1</v>
      </c>
      <c r="L180">
        <f t="shared" si="4"/>
        <v>2</v>
      </c>
      <c r="M180" t="str">
        <f t="shared" si="5"/>
        <v>Kerala</v>
      </c>
    </row>
    <row r="181" spans="1:13">
      <c r="A181">
        <v>478911</v>
      </c>
      <c r="B181" t="s">
        <v>84</v>
      </c>
      <c r="C181" t="s">
        <v>85</v>
      </c>
      <c r="D181" t="s">
        <v>70</v>
      </c>
      <c r="E181" t="s">
        <v>13</v>
      </c>
      <c r="F181">
        <v>9.8613407459999998</v>
      </c>
      <c r="G181">
        <v>76.595990110000002</v>
      </c>
      <c r="H181">
        <v>2</v>
      </c>
      <c r="I181" t="s">
        <v>14</v>
      </c>
      <c r="J181" t="s">
        <v>71</v>
      </c>
      <c r="K181">
        <f>IF(tbl_ChargingStation[[#This Row],[status]]="Operational",1,0)</f>
        <v>1</v>
      </c>
      <c r="L181">
        <f t="shared" si="4"/>
        <v>2</v>
      </c>
      <c r="M181" t="str">
        <f t="shared" si="5"/>
        <v>Kerala</v>
      </c>
    </row>
    <row r="182" spans="1:13">
      <c r="A182">
        <v>478909</v>
      </c>
      <c r="B182" t="s">
        <v>87</v>
      </c>
      <c r="C182" t="s">
        <v>88</v>
      </c>
      <c r="D182" t="s">
        <v>70</v>
      </c>
      <c r="E182" t="s">
        <v>13</v>
      </c>
      <c r="F182">
        <v>10.058637620000001</v>
      </c>
      <c r="G182">
        <v>76.652377920000006</v>
      </c>
      <c r="H182">
        <v>2</v>
      </c>
      <c r="I182" t="s">
        <v>14</v>
      </c>
      <c r="J182" t="s">
        <v>71</v>
      </c>
      <c r="K182">
        <f>IF(tbl_ChargingStation[[#This Row],[status]]="Operational",1,0)</f>
        <v>1</v>
      </c>
      <c r="L182">
        <f t="shared" si="4"/>
        <v>2</v>
      </c>
      <c r="M182" t="str">
        <f t="shared" si="5"/>
        <v>Kerala</v>
      </c>
    </row>
    <row r="183" spans="1:13">
      <c r="A183">
        <v>478908</v>
      </c>
      <c r="B183" t="s">
        <v>89</v>
      </c>
      <c r="C183" t="s">
        <v>90</v>
      </c>
      <c r="D183" t="s">
        <v>70</v>
      </c>
      <c r="E183" t="s">
        <v>13</v>
      </c>
      <c r="F183">
        <v>10.06823616</v>
      </c>
      <c r="G183">
        <v>76.386813529999998</v>
      </c>
      <c r="H183">
        <v>2</v>
      </c>
      <c r="I183" t="s">
        <v>14</v>
      </c>
      <c r="J183" t="s">
        <v>71</v>
      </c>
      <c r="K183">
        <f>IF(tbl_ChargingStation[[#This Row],[status]]="Operational",1,0)</f>
        <v>1</v>
      </c>
      <c r="L183">
        <f t="shared" si="4"/>
        <v>2</v>
      </c>
      <c r="M183" t="str">
        <f t="shared" si="5"/>
        <v>Kerala</v>
      </c>
    </row>
    <row r="184" spans="1:13">
      <c r="A184">
        <v>478907</v>
      </c>
      <c r="B184" t="s">
        <v>91</v>
      </c>
      <c r="C184" t="s">
        <v>92</v>
      </c>
      <c r="D184" t="s">
        <v>70</v>
      </c>
      <c r="E184" t="s">
        <v>13</v>
      </c>
      <c r="F184">
        <v>10.11057497</v>
      </c>
      <c r="G184">
        <v>76.372872740000005</v>
      </c>
      <c r="H184">
        <v>2</v>
      </c>
      <c r="I184" t="s">
        <v>14</v>
      </c>
      <c r="J184" t="s">
        <v>71</v>
      </c>
      <c r="K184">
        <f>IF(tbl_ChargingStation[[#This Row],[status]]="Operational",1,0)</f>
        <v>1</v>
      </c>
      <c r="L184">
        <f t="shared" si="4"/>
        <v>2</v>
      </c>
      <c r="M184" t="str">
        <f t="shared" si="5"/>
        <v>Kerala</v>
      </c>
    </row>
    <row r="185" spans="1:13">
      <c r="A185">
        <v>478906</v>
      </c>
      <c r="B185" t="s">
        <v>93</v>
      </c>
      <c r="C185" t="s">
        <v>94</v>
      </c>
      <c r="D185" t="s">
        <v>70</v>
      </c>
      <c r="E185" t="s">
        <v>13</v>
      </c>
      <c r="F185">
        <v>10.08867027</v>
      </c>
      <c r="G185">
        <v>76.424419880000002</v>
      </c>
      <c r="H185">
        <v>2</v>
      </c>
      <c r="I185" t="s">
        <v>14</v>
      </c>
      <c r="J185" t="s">
        <v>71</v>
      </c>
      <c r="K185">
        <f>IF(tbl_ChargingStation[[#This Row],[status]]="Operational",1,0)</f>
        <v>1</v>
      </c>
      <c r="L185">
        <f t="shared" si="4"/>
        <v>2</v>
      </c>
      <c r="M185" t="str">
        <f t="shared" si="5"/>
        <v>Kerala</v>
      </c>
    </row>
    <row r="186" spans="1:13">
      <c r="A186">
        <v>478905</v>
      </c>
      <c r="B186" t="s">
        <v>95</v>
      </c>
      <c r="C186" t="s">
        <v>96</v>
      </c>
      <c r="D186" t="s">
        <v>70</v>
      </c>
      <c r="E186" t="s">
        <v>13</v>
      </c>
      <c r="F186">
        <v>10.11154054</v>
      </c>
      <c r="G186">
        <v>76.478927569999996</v>
      </c>
      <c r="H186">
        <v>2</v>
      </c>
      <c r="I186" t="s">
        <v>14</v>
      </c>
      <c r="J186" t="s">
        <v>71</v>
      </c>
      <c r="K186">
        <f>IF(tbl_ChargingStation[[#This Row],[status]]="Operational",1,0)</f>
        <v>1</v>
      </c>
      <c r="L186">
        <f t="shared" si="4"/>
        <v>2</v>
      </c>
      <c r="M186" t="str">
        <f t="shared" si="5"/>
        <v>Kerala</v>
      </c>
    </row>
    <row r="187" spans="1:13">
      <c r="A187">
        <v>478904</v>
      </c>
      <c r="B187" t="s">
        <v>97</v>
      </c>
      <c r="C187" t="s">
        <v>96</v>
      </c>
      <c r="D187" t="s">
        <v>70</v>
      </c>
      <c r="E187" t="s">
        <v>13</v>
      </c>
      <c r="F187">
        <v>10.16308064</v>
      </c>
      <c r="G187">
        <v>76.48721725</v>
      </c>
      <c r="H187">
        <v>2</v>
      </c>
      <c r="I187" t="s">
        <v>14</v>
      </c>
      <c r="J187" t="s">
        <v>71</v>
      </c>
      <c r="K187">
        <f>IF(tbl_ChargingStation[[#This Row],[status]]="Operational",1,0)</f>
        <v>1</v>
      </c>
      <c r="L187">
        <f t="shared" si="4"/>
        <v>2</v>
      </c>
      <c r="M187" t="str">
        <f t="shared" si="5"/>
        <v>Kerala</v>
      </c>
    </row>
    <row r="188" spans="1:13">
      <c r="A188">
        <v>478903</v>
      </c>
      <c r="B188" t="s">
        <v>98</v>
      </c>
      <c r="C188" t="s">
        <v>99</v>
      </c>
      <c r="D188" t="s">
        <v>70</v>
      </c>
      <c r="E188" t="s">
        <v>13</v>
      </c>
      <c r="F188">
        <v>10.16879256</v>
      </c>
      <c r="G188">
        <v>76.434744129999999</v>
      </c>
      <c r="H188">
        <v>2</v>
      </c>
      <c r="I188" t="s">
        <v>14</v>
      </c>
      <c r="J188" t="s">
        <v>71</v>
      </c>
      <c r="K188">
        <f>IF(tbl_ChargingStation[[#This Row],[status]]="Operational",1,0)</f>
        <v>1</v>
      </c>
      <c r="L188">
        <f t="shared" si="4"/>
        <v>2</v>
      </c>
      <c r="M188" t="str">
        <f t="shared" si="5"/>
        <v>Kerala</v>
      </c>
    </row>
    <row r="189" spans="1:13">
      <c r="A189">
        <v>478902</v>
      </c>
      <c r="B189" t="s">
        <v>100</v>
      </c>
      <c r="C189" t="s">
        <v>101</v>
      </c>
      <c r="D189" t="s">
        <v>70</v>
      </c>
      <c r="E189" t="s">
        <v>13</v>
      </c>
      <c r="F189">
        <v>10.16452076</v>
      </c>
      <c r="G189">
        <v>76.233289929999998</v>
      </c>
      <c r="H189">
        <v>2</v>
      </c>
      <c r="I189" t="s">
        <v>14</v>
      </c>
      <c r="J189" t="s">
        <v>71</v>
      </c>
      <c r="K189">
        <f>IF(tbl_ChargingStation[[#This Row],[status]]="Operational",1,0)</f>
        <v>1</v>
      </c>
      <c r="L189">
        <f t="shared" si="4"/>
        <v>2</v>
      </c>
      <c r="M189" t="str">
        <f t="shared" si="5"/>
        <v>Kerala</v>
      </c>
    </row>
    <row r="190" spans="1:13">
      <c r="A190">
        <v>478901</v>
      </c>
      <c r="B190" t="s">
        <v>102</v>
      </c>
      <c r="C190" t="s">
        <v>103</v>
      </c>
      <c r="D190" t="s">
        <v>70</v>
      </c>
      <c r="E190" t="s">
        <v>13</v>
      </c>
      <c r="F190">
        <v>10.14922378</v>
      </c>
      <c r="G190">
        <v>76.226505900000006</v>
      </c>
      <c r="H190">
        <v>2</v>
      </c>
      <c r="I190" t="s">
        <v>14</v>
      </c>
      <c r="J190" t="s">
        <v>71</v>
      </c>
      <c r="K190">
        <f>IF(tbl_ChargingStation[[#This Row],[status]]="Operational",1,0)</f>
        <v>1</v>
      </c>
      <c r="L190">
        <f t="shared" si="4"/>
        <v>2</v>
      </c>
      <c r="M190" t="str">
        <f t="shared" si="5"/>
        <v>Kerala</v>
      </c>
    </row>
    <row r="191" spans="1:13">
      <c r="A191">
        <v>478898</v>
      </c>
      <c r="B191" t="s">
        <v>108</v>
      </c>
      <c r="C191" t="s">
        <v>109</v>
      </c>
      <c r="D191" t="s">
        <v>70</v>
      </c>
      <c r="E191" t="s">
        <v>13</v>
      </c>
      <c r="F191">
        <v>10.6429724</v>
      </c>
      <c r="G191">
        <v>75.985580479999996</v>
      </c>
      <c r="H191">
        <v>2</v>
      </c>
      <c r="I191" t="s">
        <v>14</v>
      </c>
      <c r="J191" t="s">
        <v>71</v>
      </c>
      <c r="K191">
        <f>IF(tbl_ChargingStation[[#This Row],[status]]="Operational",1,0)</f>
        <v>1</v>
      </c>
      <c r="L191">
        <f t="shared" si="4"/>
        <v>2</v>
      </c>
      <c r="M191" t="str">
        <f t="shared" si="5"/>
        <v>Kerala</v>
      </c>
    </row>
    <row r="192" spans="1:13">
      <c r="A192">
        <v>478897</v>
      </c>
      <c r="B192" t="s">
        <v>110</v>
      </c>
      <c r="C192" t="s">
        <v>111</v>
      </c>
      <c r="D192" t="s">
        <v>70</v>
      </c>
      <c r="E192" t="s">
        <v>13</v>
      </c>
      <c r="F192">
        <v>10.593309830000001</v>
      </c>
      <c r="G192">
        <v>76.037396880000003</v>
      </c>
      <c r="H192">
        <v>2</v>
      </c>
      <c r="I192" t="s">
        <v>14</v>
      </c>
      <c r="J192" t="s">
        <v>71</v>
      </c>
      <c r="K192">
        <f>IF(tbl_ChargingStation[[#This Row],[status]]="Operational",1,0)</f>
        <v>1</v>
      </c>
      <c r="L192">
        <f t="shared" si="4"/>
        <v>2</v>
      </c>
      <c r="M192" t="str">
        <f t="shared" si="5"/>
        <v>Kerala</v>
      </c>
    </row>
    <row r="193" spans="1:13">
      <c r="A193">
        <v>478894</v>
      </c>
      <c r="B193" t="s">
        <v>116</v>
      </c>
      <c r="C193" t="s">
        <v>117</v>
      </c>
      <c r="D193" t="s">
        <v>70</v>
      </c>
      <c r="E193" t="s">
        <v>13</v>
      </c>
      <c r="F193">
        <v>10.901221319999999</v>
      </c>
      <c r="G193">
        <v>75.925416389999995</v>
      </c>
      <c r="H193">
        <v>2</v>
      </c>
      <c r="I193" t="s">
        <v>14</v>
      </c>
      <c r="J193" t="s">
        <v>71</v>
      </c>
      <c r="K193">
        <f>IF(tbl_ChargingStation[[#This Row],[status]]="Operational",1,0)</f>
        <v>1</v>
      </c>
      <c r="L193">
        <f t="shared" si="4"/>
        <v>2</v>
      </c>
      <c r="M193" t="str">
        <f t="shared" si="5"/>
        <v>Kerala</v>
      </c>
    </row>
    <row r="194" spans="1:13">
      <c r="A194">
        <v>478893</v>
      </c>
      <c r="B194" t="s">
        <v>118</v>
      </c>
      <c r="C194" t="s">
        <v>119</v>
      </c>
      <c r="D194" t="s">
        <v>70</v>
      </c>
      <c r="E194" t="s">
        <v>13</v>
      </c>
      <c r="F194">
        <v>11.179791939999999</v>
      </c>
      <c r="G194">
        <v>75.872134709999997</v>
      </c>
      <c r="H194">
        <v>2</v>
      </c>
      <c r="I194" t="s">
        <v>14</v>
      </c>
      <c r="J194" t="s">
        <v>71</v>
      </c>
      <c r="K194">
        <f>IF(tbl_ChargingStation[[#This Row],[status]]="Operational",1,0)</f>
        <v>1</v>
      </c>
      <c r="L194">
        <f t="shared" ref="L194:L257" si="6">H194*K194</f>
        <v>2</v>
      </c>
      <c r="M194" t="str">
        <f t="shared" ref="M194:M257" si="7">IF(D194="GJ","Gujarat",IF(OR(D194="Keral",D194="Keraka",D194="Lerala"),"Kerala",IF(D194="MH","Maharashtra",IF(D194="MP","Madhya Pradesh",IF(D194="RJ","Rajasthan",IF(D194="TAMILNADU","Tamil Nadu",IF(D194="Uttarakhnad","Uttarakhand",D194)))))))</f>
        <v>Kerala</v>
      </c>
    </row>
    <row r="195" spans="1:13">
      <c r="A195">
        <v>478892</v>
      </c>
      <c r="B195" t="s">
        <v>120</v>
      </c>
      <c r="C195" t="s">
        <v>121</v>
      </c>
      <c r="D195" t="s">
        <v>70</v>
      </c>
      <c r="E195" t="s">
        <v>13</v>
      </c>
      <c r="F195">
        <v>11.28048199</v>
      </c>
      <c r="G195">
        <v>75.879104830000003</v>
      </c>
      <c r="H195">
        <v>2</v>
      </c>
      <c r="I195" t="s">
        <v>14</v>
      </c>
      <c r="J195" t="s">
        <v>71</v>
      </c>
      <c r="K195">
        <f>IF(tbl_ChargingStation[[#This Row],[status]]="Operational",1,0)</f>
        <v>1</v>
      </c>
      <c r="L195">
        <f t="shared" si="6"/>
        <v>2</v>
      </c>
      <c r="M195" t="str">
        <f t="shared" si="7"/>
        <v>Kerala</v>
      </c>
    </row>
    <row r="196" spans="1:13">
      <c r="A196">
        <v>478891</v>
      </c>
      <c r="B196" t="s">
        <v>122</v>
      </c>
      <c r="C196" t="s">
        <v>123</v>
      </c>
      <c r="D196" t="s">
        <v>70</v>
      </c>
      <c r="E196" t="s">
        <v>13</v>
      </c>
      <c r="F196">
        <v>11.29802224</v>
      </c>
      <c r="G196">
        <v>75.853000390000005</v>
      </c>
      <c r="H196">
        <v>2</v>
      </c>
      <c r="I196" t="s">
        <v>14</v>
      </c>
      <c r="J196" t="s">
        <v>71</v>
      </c>
      <c r="K196">
        <f>IF(tbl_ChargingStation[[#This Row],[status]]="Operational",1,0)</f>
        <v>1</v>
      </c>
      <c r="L196">
        <f t="shared" si="6"/>
        <v>2</v>
      </c>
      <c r="M196" t="str">
        <f t="shared" si="7"/>
        <v>Kerala</v>
      </c>
    </row>
    <row r="197" spans="1:13">
      <c r="A197">
        <v>478885</v>
      </c>
      <c r="B197" t="s">
        <v>132</v>
      </c>
      <c r="C197" t="s">
        <v>133</v>
      </c>
      <c r="D197" t="s">
        <v>70</v>
      </c>
      <c r="E197" t="s">
        <v>13</v>
      </c>
      <c r="F197">
        <v>12.04252833</v>
      </c>
      <c r="G197">
        <v>75.509833639999997</v>
      </c>
      <c r="H197">
        <v>2</v>
      </c>
      <c r="I197" t="s">
        <v>14</v>
      </c>
      <c r="J197" t="s">
        <v>71</v>
      </c>
      <c r="K197">
        <f>IF(tbl_ChargingStation[[#This Row],[status]]="Operational",1,0)</f>
        <v>1</v>
      </c>
      <c r="L197">
        <f t="shared" si="6"/>
        <v>2</v>
      </c>
      <c r="M197" t="str">
        <f t="shared" si="7"/>
        <v>Kerala</v>
      </c>
    </row>
    <row r="198" spans="1:13">
      <c r="A198">
        <v>478883</v>
      </c>
      <c r="B198" t="s">
        <v>136</v>
      </c>
      <c r="C198" t="s">
        <v>137</v>
      </c>
      <c r="D198" t="s">
        <v>138</v>
      </c>
      <c r="E198" t="s">
        <v>13</v>
      </c>
      <c r="F198">
        <v>12.744285809999999</v>
      </c>
      <c r="G198">
        <v>80.239281300000002</v>
      </c>
      <c r="H198">
        <v>2</v>
      </c>
      <c r="I198" t="s">
        <v>14</v>
      </c>
      <c r="J198" t="s">
        <v>139</v>
      </c>
      <c r="K198">
        <f>IF(tbl_ChargingStation[[#This Row],[status]]="Operational",1,0)</f>
        <v>1</v>
      </c>
      <c r="L198">
        <f t="shared" si="6"/>
        <v>2</v>
      </c>
      <c r="M198" t="str">
        <f t="shared" si="7"/>
        <v>Tamil Nadu</v>
      </c>
    </row>
    <row r="199" spans="1:13">
      <c r="A199">
        <v>478882</v>
      </c>
      <c r="B199" t="s">
        <v>140</v>
      </c>
      <c r="C199" t="s">
        <v>141</v>
      </c>
      <c r="D199" t="s">
        <v>138</v>
      </c>
      <c r="E199" t="s">
        <v>13</v>
      </c>
      <c r="F199">
        <v>12.61307921</v>
      </c>
      <c r="G199">
        <v>80.168796240000006</v>
      </c>
      <c r="H199">
        <v>2</v>
      </c>
      <c r="I199" t="s">
        <v>14</v>
      </c>
      <c r="J199" t="s">
        <v>139</v>
      </c>
      <c r="K199">
        <f>IF(tbl_ChargingStation[[#This Row],[status]]="Operational",1,0)</f>
        <v>1</v>
      </c>
      <c r="L199">
        <f t="shared" si="6"/>
        <v>2</v>
      </c>
      <c r="M199" t="str">
        <f t="shared" si="7"/>
        <v>Tamil Nadu</v>
      </c>
    </row>
    <row r="200" spans="1:13">
      <c r="A200">
        <v>478880</v>
      </c>
      <c r="B200" t="s">
        <v>144</v>
      </c>
      <c r="C200" t="s">
        <v>143</v>
      </c>
      <c r="D200" t="s">
        <v>138</v>
      </c>
      <c r="E200" t="s">
        <v>13</v>
      </c>
      <c r="F200">
        <v>12.932607259999999</v>
      </c>
      <c r="G200">
        <v>79.905816360000003</v>
      </c>
      <c r="H200">
        <v>2</v>
      </c>
      <c r="I200" t="s">
        <v>14</v>
      </c>
      <c r="J200" t="s">
        <v>139</v>
      </c>
      <c r="K200">
        <f>IF(tbl_ChargingStation[[#This Row],[status]]="Operational",1,0)</f>
        <v>1</v>
      </c>
      <c r="L200">
        <f t="shared" si="6"/>
        <v>2</v>
      </c>
      <c r="M200" t="str">
        <f t="shared" si="7"/>
        <v>Tamil Nadu</v>
      </c>
    </row>
    <row r="201" spans="1:13">
      <c r="A201">
        <v>478879</v>
      </c>
      <c r="B201" t="s">
        <v>145</v>
      </c>
      <c r="C201" t="s">
        <v>146</v>
      </c>
      <c r="D201" t="s">
        <v>138</v>
      </c>
      <c r="E201" t="s">
        <v>13</v>
      </c>
      <c r="F201">
        <v>12.258660689999999</v>
      </c>
      <c r="G201">
        <v>79.068388589999998</v>
      </c>
      <c r="H201">
        <v>2</v>
      </c>
      <c r="I201" t="s">
        <v>14</v>
      </c>
      <c r="J201" t="s">
        <v>139</v>
      </c>
      <c r="K201">
        <f>IF(tbl_ChargingStation[[#This Row],[status]]="Operational",1,0)</f>
        <v>1</v>
      </c>
      <c r="L201">
        <f t="shared" si="6"/>
        <v>2</v>
      </c>
      <c r="M201" t="str">
        <f t="shared" si="7"/>
        <v>Tamil Nadu</v>
      </c>
    </row>
    <row r="202" spans="1:13">
      <c r="A202">
        <v>478877</v>
      </c>
      <c r="B202" t="s">
        <v>149</v>
      </c>
      <c r="C202" t="s">
        <v>150</v>
      </c>
      <c r="D202" t="s">
        <v>138</v>
      </c>
      <c r="E202" t="s">
        <v>13</v>
      </c>
      <c r="F202">
        <v>11.26305138</v>
      </c>
      <c r="G202">
        <v>78.897413180000001</v>
      </c>
      <c r="H202">
        <v>2</v>
      </c>
      <c r="I202" t="s">
        <v>14</v>
      </c>
      <c r="J202" t="s">
        <v>139</v>
      </c>
      <c r="K202">
        <f>IF(tbl_ChargingStation[[#This Row],[status]]="Operational",1,0)</f>
        <v>1</v>
      </c>
      <c r="L202">
        <f t="shared" si="6"/>
        <v>2</v>
      </c>
      <c r="M202" t="str">
        <f t="shared" si="7"/>
        <v>Tamil Nadu</v>
      </c>
    </row>
    <row r="203" spans="1:13">
      <c r="A203">
        <v>478876</v>
      </c>
      <c r="B203" t="s">
        <v>151</v>
      </c>
      <c r="C203" t="s">
        <v>152</v>
      </c>
      <c r="D203" t="s">
        <v>138</v>
      </c>
      <c r="E203" t="s">
        <v>13</v>
      </c>
      <c r="F203">
        <v>11.648355240000001</v>
      </c>
      <c r="G203">
        <v>78.120208829999996</v>
      </c>
      <c r="H203">
        <v>2</v>
      </c>
      <c r="I203" t="s">
        <v>14</v>
      </c>
      <c r="J203" t="s">
        <v>139</v>
      </c>
      <c r="K203">
        <f>IF(tbl_ChargingStation[[#This Row],[status]]="Operational",1,0)</f>
        <v>1</v>
      </c>
      <c r="L203">
        <f t="shared" si="6"/>
        <v>2</v>
      </c>
      <c r="M203" t="str">
        <f t="shared" si="7"/>
        <v>Tamil Nadu</v>
      </c>
    </row>
    <row r="204" spans="1:13">
      <c r="A204">
        <v>478875</v>
      </c>
      <c r="B204" t="s">
        <v>153</v>
      </c>
      <c r="C204" t="s">
        <v>154</v>
      </c>
      <c r="D204" t="s">
        <v>138</v>
      </c>
      <c r="E204" t="s">
        <v>13</v>
      </c>
      <c r="F204">
        <v>11.04548355</v>
      </c>
      <c r="G204">
        <v>76.985789749999995</v>
      </c>
      <c r="H204">
        <v>2</v>
      </c>
      <c r="I204" t="s">
        <v>14</v>
      </c>
      <c r="J204" t="s">
        <v>139</v>
      </c>
      <c r="K204">
        <f>IF(tbl_ChargingStation[[#This Row],[status]]="Operational",1,0)</f>
        <v>1</v>
      </c>
      <c r="L204">
        <f t="shared" si="6"/>
        <v>2</v>
      </c>
      <c r="M204" t="str">
        <f t="shared" si="7"/>
        <v>Tamil Nadu</v>
      </c>
    </row>
    <row r="205" spans="1:13">
      <c r="A205">
        <v>478874</v>
      </c>
      <c r="B205" t="s">
        <v>155</v>
      </c>
      <c r="C205" t="s">
        <v>156</v>
      </c>
      <c r="D205" t="s">
        <v>138</v>
      </c>
      <c r="E205" t="s">
        <v>13</v>
      </c>
      <c r="F205">
        <v>10.740856770000001</v>
      </c>
      <c r="G205">
        <v>79.107558130000001</v>
      </c>
      <c r="H205">
        <v>2</v>
      </c>
      <c r="I205" t="s">
        <v>14</v>
      </c>
      <c r="J205" t="s">
        <v>139</v>
      </c>
      <c r="K205">
        <f>IF(tbl_ChargingStation[[#This Row],[status]]="Operational",1,0)</f>
        <v>1</v>
      </c>
      <c r="L205">
        <f t="shared" si="6"/>
        <v>2</v>
      </c>
      <c r="M205" t="str">
        <f t="shared" si="7"/>
        <v>Tamil Nadu</v>
      </c>
    </row>
    <row r="206" spans="1:13">
      <c r="A206">
        <v>478873</v>
      </c>
      <c r="B206" t="s">
        <v>157</v>
      </c>
      <c r="C206" t="s">
        <v>158</v>
      </c>
      <c r="D206" t="s">
        <v>138</v>
      </c>
      <c r="E206" t="s">
        <v>13</v>
      </c>
      <c r="F206">
        <v>10.804353219999999</v>
      </c>
      <c r="G206">
        <v>78.677253219999997</v>
      </c>
      <c r="H206">
        <v>2</v>
      </c>
      <c r="I206" t="s">
        <v>14</v>
      </c>
      <c r="J206" t="s">
        <v>139</v>
      </c>
      <c r="K206">
        <f>IF(tbl_ChargingStation[[#This Row],[status]]="Operational",1,0)</f>
        <v>1</v>
      </c>
      <c r="L206">
        <f t="shared" si="6"/>
        <v>2</v>
      </c>
      <c r="M206" t="str">
        <f t="shared" si="7"/>
        <v>Tamil Nadu</v>
      </c>
    </row>
    <row r="207" spans="1:13">
      <c r="A207">
        <v>478872</v>
      </c>
      <c r="B207" t="s">
        <v>159</v>
      </c>
      <c r="C207" t="s">
        <v>158</v>
      </c>
      <c r="D207" t="s">
        <v>138</v>
      </c>
      <c r="E207" t="s">
        <v>13</v>
      </c>
      <c r="F207">
        <v>10.791207399999999</v>
      </c>
      <c r="G207">
        <v>78.657784480000004</v>
      </c>
      <c r="H207">
        <v>2</v>
      </c>
      <c r="I207" t="s">
        <v>14</v>
      </c>
      <c r="J207" t="s">
        <v>139</v>
      </c>
      <c r="K207">
        <f>IF(tbl_ChargingStation[[#This Row],[status]]="Operational",1,0)</f>
        <v>1</v>
      </c>
      <c r="L207">
        <f t="shared" si="6"/>
        <v>2</v>
      </c>
      <c r="M207" t="str">
        <f t="shared" si="7"/>
        <v>Tamil Nadu</v>
      </c>
    </row>
    <row r="208" spans="1:13">
      <c r="A208">
        <v>478871</v>
      </c>
      <c r="B208" t="s">
        <v>160</v>
      </c>
      <c r="C208" t="s">
        <v>161</v>
      </c>
      <c r="D208" t="s">
        <v>138</v>
      </c>
      <c r="E208" t="s">
        <v>13</v>
      </c>
      <c r="F208">
        <v>10.560668959999999</v>
      </c>
      <c r="G208">
        <v>78.321808419999996</v>
      </c>
      <c r="H208">
        <v>2</v>
      </c>
      <c r="I208" t="s">
        <v>14</v>
      </c>
      <c r="J208" t="s">
        <v>139</v>
      </c>
      <c r="K208">
        <f>IF(tbl_ChargingStation[[#This Row],[status]]="Operational",1,0)</f>
        <v>1</v>
      </c>
      <c r="L208">
        <f t="shared" si="6"/>
        <v>2</v>
      </c>
      <c r="M208" t="str">
        <f t="shared" si="7"/>
        <v>Tamil Nadu</v>
      </c>
    </row>
    <row r="209" spans="1:13">
      <c r="A209">
        <v>478870</v>
      </c>
      <c r="B209" t="s">
        <v>162</v>
      </c>
      <c r="C209" t="s">
        <v>163</v>
      </c>
      <c r="D209" t="s">
        <v>138</v>
      </c>
      <c r="E209" t="s">
        <v>13</v>
      </c>
      <c r="F209">
        <v>10.070078410000001</v>
      </c>
      <c r="G209">
        <v>78.727504580000002</v>
      </c>
      <c r="H209">
        <v>2</v>
      </c>
      <c r="I209" t="s">
        <v>14</v>
      </c>
      <c r="J209" t="s">
        <v>139</v>
      </c>
      <c r="K209">
        <f>IF(tbl_ChargingStation[[#This Row],[status]]="Operational",1,0)</f>
        <v>1</v>
      </c>
      <c r="L209">
        <f t="shared" si="6"/>
        <v>2</v>
      </c>
      <c r="M209" t="str">
        <f t="shared" si="7"/>
        <v>Tamil Nadu</v>
      </c>
    </row>
    <row r="210" spans="1:13">
      <c r="A210">
        <v>478869</v>
      </c>
      <c r="B210" t="s">
        <v>164</v>
      </c>
      <c r="C210" t="s">
        <v>165</v>
      </c>
      <c r="D210" t="s">
        <v>138</v>
      </c>
      <c r="E210" t="s">
        <v>13</v>
      </c>
      <c r="F210">
        <v>9.8171197289999999</v>
      </c>
      <c r="G210">
        <v>77.978341069999999</v>
      </c>
      <c r="H210">
        <v>2</v>
      </c>
      <c r="I210" t="s">
        <v>14</v>
      </c>
      <c r="J210" t="s">
        <v>139</v>
      </c>
      <c r="K210">
        <f>IF(tbl_ChargingStation[[#This Row],[status]]="Operational",1,0)</f>
        <v>1</v>
      </c>
      <c r="L210">
        <f t="shared" si="6"/>
        <v>2</v>
      </c>
      <c r="M210" t="str">
        <f t="shared" si="7"/>
        <v>Tamil Nadu</v>
      </c>
    </row>
    <row r="211" spans="1:13">
      <c r="A211">
        <v>478868</v>
      </c>
      <c r="B211" t="s">
        <v>166</v>
      </c>
      <c r="C211" t="s">
        <v>167</v>
      </c>
      <c r="D211" t="s">
        <v>138</v>
      </c>
      <c r="E211" t="s">
        <v>13</v>
      </c>
      <c r="F211">
        <v>9.3000035380000003</v>
      </c>
      <c r="G211">
        <v>77.915658109999995</v>
      </c>
      <c r="H211">
        <v>2</v>
      </c>
      <c r="I211" t="s">
        <v>14</v>
      </c>
      <c r="J211" t="s">
        <v>139</v>
      </c>
      <c r="K211">
        <f>IF(tbl_ChargingStation[[#This Row],[status]]="Operational",1,0)</f>
        <v>1</v>
      </c>
      <c r="L211">
        <f t="shared" si="6"/>
        <v>2</v>
      </c>
      <c r="M211" t="str">
        <f t="shared" si="7"/>
        <v>Tamil Nadu</v>
      </c>
    </row>
    <row r="212" spans="1:13">
      <c r="A212">
        <v>478867</v>
      </c>
      <c r="B212" t="s">
        <v>168</v>
      </c>
      <c r="C212" t="s">
        <v>169</v>
      </c>
      <c r="D212" t="s">
        <v>70</v>
      </c>
      <c r="E212" t="s">
        <v>13</v>
      </c>
      <c r="F212">
        <v>10.502420239999999</v>
      </c>
      <c r="G212">
        <v>76.257982260000006</v>
      </c>
      <c r="H212">
        <v>2</v>
      </c>
      <c r="I212" t="s">
        <v>14</v>
      </c>
      <c r="J212" t="s">
        <v>139</v>
      </c>
      <c r="K212">
        <f>IF(tbl_ChargingStation[[#This Row],[status]]="Operational",1,0)</f>
        <v>1</v>
      </c>
      <c r="L212">
        <f t="shared" si="6"/>
        <v>2</v>
      </c>
      <c r="M212" t="str">
        <f t="shared" si="7"/>
        <v>Kerala</v>
      </c>
    </row>
    <row r="213" spans="1:13">
      <c r="A213">
        <v>478865</v>
      </c>
      <c r="B213" t="s">
        <v>172</v>
      </c>
      <c r="C213" t="s">
        <v>173</v>
      </c>
      <c r="D213" t="s">
        <v>138</v>
      </c>
      <c r="E213" t="s">
        <v>13</v>
      </c>
      <c r="F213">
        <v>8.5402511350000001</v>
      </c>
      <c r="G213">
        <v>77.669517099999993</v>
      </c>
      <c r="H213">
        <v>2</v>
      </c>
      <c r="I213" t="s">
        <v>14</v>
      </c>
      <c r="J213" t="s">
        <v>174</v>
      </c>
      <c r="K213">
        <f>IF(tbl_ChargingStation[[#This Row],[status]]="Operational",1,0)</f>
        <v>1</v>
      </c>
      <c r="L213">
        <f t="shared" si="6"/>
        <v>2</v>
      </c>
      <c r="M213" t="str">
        <f t="shared" si="7"/>
        <v>Tamil Nadu</v>
      </c>
    </row>
    <row r="214" spans="1:13">
      <c r="A214">
        <v>478864</v>
      </c>
      <c r="B214" t="s">
        <v>175</v>
      </c>
      <c r="C214" t="s">
        <v>176</v>
      </c>
      <c r="D214" t="s">
        <v>138</v>
      </c>
      <c r="E214" t="s">
        <v>13</v>
      </c>
      <c r="F214">
        <v>10.71722243</v>
      </c>
      <c r="G214">
        <v>77.556213799999995</v>
      </c>
      <c r="H214">
        <v>2</v>
      </c>
      <c r="I214" t="s">
        <v>14</v>
      </c>
      <c r="J214" t="s">
        <v>174</v>
      </c>
      <c r="K214">
        <f>IF(tbl_ChargingStation[[#This Row],[status]]="Operational",1,0)</f>
        <v>1</v>
      </c>
      <c r="L214">
        <f t="shared" si="6"/>
        <v>2</v>
      </c>
      <c r="M214" t="str">
        <f t="shared" si="7"/>
        <v>Tamil Nadu</v>
      </c>
    </row>
    <row r="215" spans="1:13">
      <c r="A215">
        <v>478863</v>
      </c>
      <c r="B215" t="s">
        <v>175</v>
      </c>
      <c r="C215" t="s">
        <v>177</v>
      </c>
      <c r="D215" t="s">
        <v>138</v>
      </c>
      <c r="E215" t="s">
        <v>13</v>
      </c>
      <c r="F215">
        <v>10.996757799999999</v>
      </c>
      <c r="G215">
        <v>77.00865211</v>
      </c>
      <c r="H215">
        <v>2</v>
      </c>
      <c r="I215" t="s">
        <v>14</v>
      </c>
      <c r="J215" t="s">
        <v>174</v>
      </c>
      <c r="K215">
        <f>IF(tbl_ChargingStation[[#This Row],[status]]="Operational",1,0)</f>
        <v>1</v>
      </c>
      <c r="L215">
        <f t="shared" si="6"/>
        <v>2</v>
      </c>
      <c r="M215" t="str">
        <f t="shared" si="7"/>
        <v>Tamil Nadu</v>
      </c>
    </row>
    <row r="216" spans="1:13">
      <c r="A216">
        <v>478858</v>
      </c>
      <c r="B216" t="s">
        <v>184</v>
      </c>
      <c r="C216" t="s">
        <v>185</v>
      </c>
      <c r="D216" t="s">
        <v>70</v>
      </c>
      <c r="E216" t="s">
        <v>13</v>
      </c>
      <c r="F216">
        <v>9.6192443559999994</v>
      </c>
      <c r="G216">
        <v>76.372185819999999</v>
      </c>
      <c r="H216">
        <v>2</v>
      </c>
      <c r="I216" t="s">
        <v>41</v>
      </c>
      <c r="J216" t="s">
        <v>174</v>
      </c>
      <c r="K216">
        <f>IF(tbl_ChargingStation[[#This Row],[status]]="Operational",1,0)</f>
        <v>0</v>
      </c>
      <c r="L216">
        <f t="shared" si="6"/>
        <v>0</v>
      </c>
      <c r="M216" t="str">
        <f t="shared" si="7"/>
        <v>Kerala</v>
      </c>
    </row>
    <row r="217" spans="1:13">
      <c r="A217">
        <v>478855</v>
      </c>
      <c r="B217" t="s">
        <v>189</v>
      </c>
      <c r="C217" t="s">
        <v>190</v>
      </c>
      <c r="D217" t="s">
        <v>138</v>
      </c>
      <c r="E217" t="s">
        <v>13</v>
      </c>
      <c r="F217">
        <v>8.1945029070000004</v>
      </c>
      <c r="G217">
        <v>77.394416359999994</v>
      </c>
      <c r="H217">
        <v>2</v>
      </c>
      <c r="I217" t="s">
        <v>14</v>
      </c>
      <c r="J217" t="s">
        <v>174</v>
      </c>
      <c r="K217">
        <f>IF(tbl_ChargingStation[[#This Row],[status]]="Operational",1,0)</f>
        <v>1</v>
      </c>
      <c r="L217">
        <f t="shared" si="6"/>
        <v>2</v>
      </c>
      <c r="M217" t="str">
        <f t="shared" si="7"/>
        <v>Tamil Nadu</v>
      </c>
    </row>
    <row r="218" spans="1:13">
      <c r="A218">
        <v>478854</v>
      </c>
      <c r="B218" t="s">
        <v>191</v>
      </c>
      <c r="C218" t="s">
        <v>192</v>
      </c>
      <c r="D218" t="s">
        <v>70</v>
      </c>
      <c r="E218" t="s">
        <v>13</v>
      </c>
      <c r="F218">
        <v>10.66622295</v>
      </c>
      <c r="G218">
        <v>76.113443989999993</v>
      </c>
      <c r="H218">
        <v>2</v>
      </c>
      <c r="I218" t="s">
        <v>14</v>
      </c>
      <c r="J218" t="s">
        <v>174</v>
      </c>
      <c r="K218">
        <f>IF(tbl_ChargingStation[[#This Row],[status]]="Operational",1,0)</f>
        <v>1</v>
      </c>
      <c r="L218">
        <f t="shared" si="6"/>
        <v>2</v>
      </c>
      <c r="M218" t="str">
        <f t="shared" si="7"/>
        <v>Kerala</v>
      </c>
    </row>
    <row r="219" spans="1:13">
      <c r="A219">
        <v>478520</v>
      </c>
      <c r="B219" t="s">
        <v>193</v>
      </c>
      <c r="C219" t="s">
        <v>12</v>
      </c>
      <c r="D219" t="s">
        <v>17</v>
      </c>
      <c r="E219" t="s">
        <v>13</v>
      </c>
      <c r="F219">
        <v>16.814493840000001</v>
      </c>
      <c r="G219">
        <v>78.148328539999994</v>
      </c>
      <c r="H219">
        <v>2</v>
      </c>
      <c r="I219" t="s">
        <v>14</v>
      </c>
      <c r="J219" t="s">
        <v>139</v>
      </c>
      <c r="K219">
        <f>IF(tbl_ChargingStation[[#This Row],[status]]="Operational",1,0)</f>
        <v>1</v>
      </c>
      <c r="L219">
        <f t="shared" si="6"/>
        <v>2</v>
      </c>
      <c r="M219" t="str">
        <f t="shared" si="7"/>
        <v>Telangana</v>
      </c>
    </row>
    <row r="220" spans="1:13">
      <c r="A220">
        <v>478519</v>
      </c>
      <c r="B220" t="s">
        <v>194</v>
      </c>
      <c r="C220" t="s">
        <v>12</v>
      </c>
      <c r="D220" t="s">
        <v>17</v>
      </c>
      <c r="E220" t="s">
        <v>13</v>
      </c>
      <c r="F220">
        <v>16.81475507</v>
      </c>
      <c r="G220">
        <v>78.148400229999993</v>
      </c>
      <c r="H220">
        <v>2</v>
      </c>
      <c r="I220" t="s">
        <v>14</v>
      </c>
      <c r="J220" t="s">
        <v>195</v>
      </c>
      <c r="K220">
        <f>IF(tbl_ChargingStation[[#This Row],[status]]="Operational",1,0)</f>
        <v>1</v>
      </c>
      <c r="L220">
        <f t="shared" si="6"/>
        <v>2</v>
      </c>
      <c r="M220" t="str">
        <f t="shared" si="7"/>
        <v>Telangana</v>
      </c>
    </row>
    <row r="221" spans="1:13">
      <c r="A221">
        <v>478491</v>
      </c>
      <c r="B221" t="s">
        <v>196</v>
      </c>
      <c r="C221" t="s">
        <v>197</v>
      </c>
      <c r="D221" t="s">
        <v>70</v>
      </c>
      <c r="E221" t="s">
        <v>13</v>
      </c>
      <c r="F221">
        <v>11.268432389999999</v>
      </c>
      <c r="G221">
        <v>75.831155969999998</v>
      </c>
      <c r="H221">
        <v>2</v>
      </c>
      <c r="I221" t="s">
        <v>14</v>
      </c>
      <c r="J221" t="s">
        <v>198</v>
      </c>
      <c r="K221">
        <f>IF(tbl_ChargingStation[[#This Row],[status]]="Operational",1,0)</f>
        <v>1</v>
      </c>
      <c r="L221">
        <f t="shared" si="6"/>
        <v>2</v>
      </c>
      <c r="M221" t="str">
        <f t="shared" si="7"/>
        <v>Kerala</v>
      </c>
    </row>
    <row r="222" spans="1:13">
      <c r="A222">
        <v>477284</v>
      </c>
      <c r="B222" t="s">
        <v>199</v>
      </c>
      <c r="C222" t="s">
        <v>12</v>
      </c>
      <c r="D222" t="s">
        <v>200</v>
      </c>
      <c r="E222" t="s">
        <v>13</v>
      </c>
      <c r="F222">
        <v>27.735562569999999</v>
      </c>
      <c r="G222">
        <v>76.983877109999995</v>
      </c>
      <c r="H222">
        <v>2</v>
      </c>
      <c r="I222" t="s">
        <v>14</v>
      </c>
      <c r="J222" t="s">
        <v>201</v>
      </c>
      <c r="K222">
        <f>IF(tbl_ChargingStation[[#This Row],[status]]="Operational",1,0)</f>
        <v>1</v>
      </c>
      <c r="L222">
        <f t="shared" si="6"/>
        <v>2</v>
      </c>
      <c r="M222" t="str">
        <f t="shared" si="7"/>
        <v>Haryana</v>
      </c>
    </row>
    <row r="223" spans="1:13">
      <c r="A223">
        <v>475886</v>
      </c>
      <c r="B223" t="s">
        <v>204</v>
      </c>
      <c r="C223" t="s">
        <v>205</v>
      </c>
      <c r="D223" t="s">
        <v>206</v>
      </c>
      <c r="E223" t="s">
        <v>13</v>
      </c>
      <c r="F223">
        <v>26.63638297</v>
      </c>
      <c r="G223">
        <v>75.102217330000002</v>
      </c>
      <c r="H223">
        <v>2</v>
      </c>
      <c r="I223" t="s">
        <v>14</v>
      </c>
      <c r="J223" t="s">
        <v>207</v>
      </c>
      <c r="K223">
        <f>IF(tbl_ChargingStation[[#This Row],[status]]="Operational",1,0)</f>
        <v>1</v>
      </c>
      <c r="L223">
        <f t="shared" si="6"/>
        <v>2</v>
      </c>
      <c r="M223" t="str">
        <f t="shared" si="7"/>
        <v>rajasthan</v>
      </c>
    </row>
    <row r="224" spans="1:13">
      <c r="A224">
        <v>475875</v>
      </c>
      <c r="B224" t="s">
        <v>208</v>
      </c>
      <c r="C224" t="s">
        <v>209</v>
      </c>
      <c r="D224" t="s">
        <v>203</v>
      </c>
      <c r="E224" t="s">
        <v>13</v>
      </c>
      <c r="F224">
        <v>27.562552019999998</v>
      </c>
      <c r="G224">
        <v>76.075089059999996</v>
      </c>
      <c r="H224">
        <v>2</v>
      </c>
      <c r="I224" t="s">
        <v>14</v>
      </c>
      <c r="J224" t="s">
        <v>210</v>
      </c>
      <c r="K224">
        <f>IF(tbl_ChargingStation[[#This Row],[status]]="Operational",1,0)</f>
        <v>1</v>
      </c>
      <c r="L224">
        <f t="shared" si="6"/>
        <v>2</v>
      </c>
      <c r="M224" t="str">
        <f t="shared" si="7"/>
        <v>Rajasthan</v>
      </c>
    </row>
    <row r="225" spans="1:13">
      <c r="A225">
        <v>475874</v>
      </c>
      <c r="B225" t="s">
        <v>208</v>
      </c>
      <c r="C225" t="s">
        <v>209</v>
      </c>
      <c r="D225" t="s">
        <v>203</v>
      </c>
      <c r="E225" t="s">
        <v>13</v>
      </c>
      <c r="F225">
        <v>27.562552019999998</v>
      </c>
      <c r="G225">
        <v>76.075089059999996</v>
      </c>
      <c r="H225">
        <v>2</v>
      </c>
      <c r="I225" t="s">
        <v>14</v>
      </c>
      <c r="J225" t="s">
        <v>211</v>
      </c>
      <c r="K225">
        <f>IF(tbl_ChargingStation[[#This Row],[status]]="Operational",1,0)</f>
        <v>1</v>
      </c>
      <c r="L225">
        <f t="shared" si="6"/>
        <v>2</v>
      </c>
      <c r="M225" t="str">
        <f t="shared" si="7"/>
        <v>Rajasthan</v>
      </c>
    </row>
    <row r="226" spans="1:13">
      <c r="A226">
        <v>475673</v>
      </c>
      <c r="B226" t="s">
        <v>217</v>
      </c>
      <c r="C226" t="s">
        <v>218</v>
      </c>
      <c r="D226" t="s">
        <v>219</v>
      </c>
      <c r="E226" t="s">
        <v>13</v>
      </c>
      <c r="F226">
        <v>20.380110259999999</v>
      </c>
      <c r="G226">
        <v>72.914454879999994</v>
      </c>
      <c r="H226">
        <v>2</v>
      </c>
      <c r="I226" t="s">
        <v>14</v>
      </c>
      <c r="J226" t="s">
        <v>139</v>
      </c>
      <c r="K226">
        <f>IF(tbl_ChargingStation[[#This Row],[status]]="Operational",1,0)</f>
        <v>1</v>
      </c>
      <c r="L226">
        <f t="shared" si="6"/>
        <v>2</v>
      </c>
      <c r="M226" t="str">
        <f t="shared" si="7"/>
        <v>Gujarat</v>
      </c>
    </row>
    <row r="227" spans="1:13">
      <c r="A227">
        <v>475671</v>
      </c>
      <c r="B227" t="s">
        <v>220</v>
      </c>
      <c r="C227" t="s">
        <v>221</v>
      </c>
      <c r="D227" t="s">
        <v>222</v>
      </c>
      <c r="E227" t="s">
        <v>13</v>
      </c>
      <c r="F227">
        <v>32.214505389999999</v>
      </c>
      <c r="G227">
        <v>76.316939629999993</v>
      </c>
      <c r="H227">
        <v>2</v>
      </c>
      <c r="I227" t="s">
        <v>14</v>
      </c>
      <c r="J227" t="s">
        <v>223</v>
      </c>
      <c r="K227">
        <f>IF(tbl_ChargingStation[[#This Row],[status]]="Operational",1,0)</f>
        <v>1</v>
      </c>
      <c r="L227">
        <f t="shared" si="6"/>
        <v>2</v>
      </c>
      <c r="M227" t="str">
        <f t="shared" si="7"/>
        <v>Himachal Pradesh</v>
      </c>
    </row>
    <row r="228" spans="1:13">
      <c r="A228">
        <v>475550</v>
      </c>
      <c r="B228" t="s">
        <v>227</v>
      </c>
      <c r="C228" t="s">
        <v>228</v>
      </c>
      <c r="D228" t="s">
        <v>17</v>
      </c>
      <c r="E228" t="s">
        <v>13</v>
      </c>
      <c r="F228">
        <v>18.822907709999999</v>
      </c>
      <c r="G228">
        <v>78.321722679999993</v>
      </c>
      <c r="H228">
        <v>2</v>
      </c>
      <c r="I228" t="s">
        <v>14</v>
      </c>
      <c r="J228" t="s">
        <v>195</v>
      </c>
      <c r="K228">
        <f>IF(tbl_ChargingStation[[#This Row],[status]]="Operational",1,0)</f>
        <v>1</v>
      </c>
      <c r="L228">
        <f t="shared" si="6"/>
        <v>2</v>
      </c>
      <c r="M228" t="str">
        <f t="shared" si="7"/>
        <v>Telangana</v>
      </c>
    </row>
    <row r="229" spans="1:13">
      <c r="A229">
        <v>475401</v>
      </c>
      <c r="B229" t="s">
        <v>230</v>
      </c>
      <c r="C229" t="s">
        <v>231</v>
      </c>
      <c r="D229" t="s">
        <v>232</v>
      </c>
      <c r="E229" t="s">
        <v>13</v>
      </c>
      <c r="F229">
        <v>17.22435243</v>
      </c>
      <c r="G229">
        <v>74.180164730000001</v>
      </c>
      <c r="H229">
        <v>2</v>
      </c>
      <c r="I229" t="s">
        <v>14</v>
      </c>
      <c r="J229" t="s">
        <v>198</v>
      </c>
      <c r="K229">
        <f>IF(tbl_ChargingStation[[#This Row],[status]]="Operational",1,0)</f>
        <v>1</v>
      </c>
      <c r="L229">
        <f t="shared" si="6"/>
        <v>2</v>
      </c>
      <c r="M229" t="str">
        <f t="shared" si="7"/>
        <v>Maharashtra</v>
      </c>
    </row>
    <row r="230" spans="1:13">
      <c r="A230">
        <v>475337</v>
      </c>
      <c r="B230" t="s">
        <v>233</v>
      </c>
      <c r="C230" t="s">
        <v>12</v>
      </c>
      <c r="D230" t="s">
        <v>203</v>
      </c>
      <c r="E230" t="s">
        <v>13</v>
      </c>
      <c r="F230">
        <v>24.891418349999999</v>
      </c>
      <c r="G230">
        <v>75.964821130000004</v>
      </c>
      <c r="H230">
        <v>2</v>
      </c>
      <c r="I230" t="s">
        <v>14</v>
      </c>
      <c r="J230" t="s">
        <v>223</v>
      </c>
      <c r="K230">
        <f>IF(tbl_ChargingStation[[#This Row],[status]]="Operational",1,0)</f>
        <v>1</v>
      </c>
      <c r="L230">
        <f t="shared" si="6"/>
        <v>2</v>
      </c>
      <c r="M230" t="str">
        <f t="shared" si="7"/>
        <v>Rajasthan</v>
      </c>
    </row>
    <row r="231" spans="1:13">
      <c r="A231">
        <v>474598</v>
      </c>
      <c r="B231" t="s">
        <v>234</v>
      </c>
      <c r="C231" t="s">
        <v>235</v>
      </c>
      <c r="D231" t="s">
        <v>70</v>
      </c>
      <c r="E231" t="s">
        <v>13</v>
      </c>
      <c r="F231">
        <v>12.10566047</v>
      </c>
      <c r="G231">
        <v>75.211734320000005</v>
      </c>
      <c r="H231">
        <v>2</v>
      </c>
      <c r="I231" t="s">
        <v>14</v>
      </c>
      <c r="J231" t="s">
        <v>174</v>
      </c>
      <c r="K231">
        <f>IF(tbl_ChargingStation[[#This Row],[status]]="Operational",1,0)</f>
        <v>1</v>
      </c>
      <c r="L231">
        <f t="shared" si="6"/>
        <v>2</v>
      </c>
      <c r="M231" t="str">
        <f t="shared" si="7"/>
        <v>Kerala</v>
      </c>
    </row>
    <row r="232" spans="1:13">
      <c r="A232">
        <v>474595</v>
      </c>
      <c r="B232" t="s">
        <v>238</v>
      </c>
      <c r="C232" t="s">
        <v>239</v>
      </c>
      <c r="D232" t="s">
        <v>70</v>
      </c>
      <c r="E232" t="s">
        <v>13</v>
      </c>
      <c r="F232">
        <v>12.048654640000001</v>
      </c>
      <c r="G232">
        <v>75.346280059999998</v>
      </c>
      <c r="H232">
        <v>2</v>
      </c>
      <c r="I232" t="s">
        <v>14</v>
      </c>
      <c r="J232" t="s">
        <v>174</v>
      </c>
      <c r="K232">
        <f>IF(tbl_ChargingStation[[#This Row],[status]]="Operational",1,0)</f>
        <v>1</v>
      </c>
      <c r="L232">
        <f t="shared" si="6"/>
        <v>2</v>
      </c>
      <c r="M232" t="str">
        <f t="shared" si="7"/>
        <v>Kerala</v>
      </c>
    </row>
    <row r="233" spans="1:13">
      <c r="A233">
        <v>474593</v>
      </c>
      <c r="B233" t="s">
        <v>242</v>
      </c>
      <c r="C233" t="s">
        <v>243</v>
      </c>
      <c r="D233" t="s">
        <v>70</v>
      </c>
      <c r="E233" t="s">
        <v>13</v>
      </c>
      <c r="F233">
        <v>11.7257471</v>
      </c>
      <c r="G233">
        <v>76.077673369999999</v>
      </c>
      <c r="H233">
        <v>2</v>
      </c>
      <c r="I233" t="s">
        <v>14</v>
      </c>
      <c r="J233" t="s">
        <v>174</v>
      </c>
      <c r="K233">
        <f>IF(tbl_ChargingStation[[#This Row],[status]]="Operational",1,0)</f>
        <v>1</v>
      </c>
      <c r="L233">
        <f t="shared" si="6"/>
        <v>2</v>
      </c>
      <c r="M233" t="str">
        <f t="shared" si="7"/>
        <v>Kerala</v>
      </c>
    </row>
    <row r="234" spans="1:13">
      <c r="A234">
        <v>474585</v>
      </c>
      <c r="B234" t="s">
        <v>250</v>
      </c>
      <c r="C234" t="s">
        <v>251</v>
      </c>
      <c r="D234" t="s">
        <v>70</v>
      </c>
      <c r="E234" t="s">
        <v>13</v>
      </c>
      <c r="F234">
        <v>11.364746009999999</v>
      </c>
      <c r="G234">
        <v>75.739449930000006</v>
      </c>
      <c r="H234">
        <v>2</v>
      </c>
      <c r="I234" t="s">
        <v>14</v>
      </c>
      <c r="J234" t="s">
        <v>174</v>
      </c>
      <c r="K234">
        <f>IF(tbl_ChargingStation[[#This Row],[status]]="Operational",1,0)</f>
        <v>1</v>
      </c>
      <c r="L234">
        <f t="shared" si="6"/>
        <v>2</v>
      </c>
      <c r="M234" t="str">
        <f t="shared" si="7"/>
        <v>Kerala</v>
      </c>
    </row>
    <row r="235" spans="1:13">
      <c r="A235">
        <v>474582</v>
      </c>
      <c r="B235" t="s">
        <v>253</v>
      </c>
      <c r="C235" t="s">
        <v>197</v>
      </c>
      <c r="D235" t="s">
        <v>70</v>
      </c>
      <c r="E235" t="s">
        <v>13</v>
      </c>
      <c r="F235">
        <v>11.25784125</v>
      </c>
      <c r="G235">
        <v>75.810187920000004</v>
      </c>
      <c r="H235">
        <v>2</v>
      </c>
      <c r="I235" t="s">
        <v>14</v>
      </c>
      <c r="J235" t="s">
        <v>174</v>
      </c>
      <c r="K235">
        <f>IF(tbl_ChargingStation[[#This Row],[status]]="Operational",1,0)</f>
        <v>1</v>
      </c>
      <c r="L235">
        <f t="shared" si="6"/>
        <v>2</v>
      </c>
      <c r="M235" t="str">
        <f t="shared" si="7"/>
        <v>Kerala</v>
      </c>
    </row>
    <row r="236" spans="1:13">
      <c r="A236">
        <v>474580</v>
      </c>
      <c r="B236" t="s">
        <v>254</v>
      </c>
      <c r="C236" t="s">
        <v>255</v>
      </c>
      <c r="D236" t="s">
        <v>70</v>
      </c>
      <c r="E236" t="s">
        <v>13</v>
      </c>
      <c r="F236">
        <v>11.23535468</v>
      </c>
      <c r="G236">
        <v>75.8456683</v>
      </c>
      <c r="H236">
        <v>2</v>
      </c>
      <c r="I236" t="s">
        <v>14</v>
      </c>
      <c r="J236" t="s">
        <v>174</v>
      </c>
      <c r="K236">
        <f>IF(tbl_ChargingStation[[#This Row],[status]]="Operational",1,0)</f>
        <v>1</v>
      </c>
      <c r="L236">
        <f t="shared" si="6"/>
        <v>2</v>
      </c>
      <c r="M236" t="str">
        <f t="shared" si="7"/>
        <v>Kerala</v>
      </c>
    </row>
    <row r="237" spans="1:13">
      <c r="A237">
        <v>474578</v>
      </c>
      <c r="B237" t="s">
        <v>256</v>
      </c>
      <c r="C237" t="s">
        <v>257</v>
      </c>
      <c r="D237" t="s">
        <v>70</v>
      </c>
      <c r="E237" t="s">
        <v>13</v>
      </c>
      <c r="F237">
        <v>11.16434134</v>
      </c>
      <c r="G237">
        <v>75.964007370000004</v>
      </c>
      <c r="H237">
        <v>2</v>
      </c>
      <c r="I237" t="s">
        <v>14</v>
      </c>
      <c r="J237" t="s">
        <v>174</v>
      </c>
      <c r="K237">
        <f>IF(tbl_ChargingStation[[#This Row],[status]]="Operational",1,0)</f>
        <v>1</v>
      </c>
      <c r="L237">
        <f t="shared" si="6"/>
        <v>2</v>
      </c>
      <c r="M237" t="str">
        <f t="shared" si="7"/>
        <v>Kerala</v>
      </c>
    </row>
    <row r="238" spans="1:13">
      <c r="A238">
        <v>474576</v>
      </c>
      <c r="B238" t="s">
        <v>258</v>
      </c>
      <c r="C238" t="s">
        <v>259</v>
      </c>
      <c r="D238" t="s">
        <v>70</v>
      </c>
      <c r="E238" t="s">
        <v>13</v>
      </c>
      <c r="F238">
        <v>10.97774961</v>
      </c>
      <c r="G238">
        <v>76.242862889999998</v>
      </c>
      <c r="H238">
        <v>2</v>
      </c>
      <c r="I238" t="s">
        <v>14</v>
      </c>
      <c r="J238" t="s">
        <v>174</v>
      </c>
      <c r="K238">
        <f>IF(tbl_ChargingStation[[#This Row],[status]]="Operational",1,0)</f>
        <v>1</v>
      </c>
      <c r="L238">
        <f t="shared" si="6"/>
        <v>2</v>
      </c>
      <c r="M238" t="str">
        <f t="shared" si="7"/>
        <v>Kerala</v>
      </c>
    </row>
    <row r="239" spans="1:13">
      <c r="A239">
        <v>474571</v>
      </c>
      <c r="B239" t="s">
        <v>265</v>
      </c>
      <c r="C239" t="s">
        <v>266</v>
      </c>
      <c r="D239" t="s">
        <v>70</v>
      </c>
      <c r="E239" t="s">
        <v>13</v>
      </c>
      <c r="F239">
        <v>10.796990859999999</v>
      </c>
      <c r="G239">
        <v>76.764409259999994</v>
      </c>
      <c r="H239">
        <v>2</v>
      </c>
      <c r="I239" t="s">
        <v>14</v>
      </c>
      <c r="J239" t="s">
        <v>174</v>
      </c>
      <c r="K239">
        <f>IF(tbl_ChargingStation[[#This Row],[status]]="Operational",1,0)</f>
        <v>1</v>
      </c>
      <c r="L239">
        <f t="shared" si="6"/>
        <v>2</v>
      </c>
      <c r="M239" t="str">
        <f t="shared" si="7"/>
        <v>Kerala</v>
      </c>
    </row>
    <row r="240" spans="1:13">
      <c r="A240">
        <v>474570</v>
      </c>
      <c r="B240" t="s">
        <v>267</v>
      </c>
      <c r="C240" t="s">
        <v>268</v>
      </c>
      <c r="D240" t="s">
        <v>70</v>
      </c>
      <c r="E240" t="s">
        <v>13</v>
      </c>
      <c r="F240">
        <v>10.777715300000001</v>
      </c>
      <c r="G240">
        <v>76.341227700000005</v>
      </c>
      <c r="H240">
        <v>2</v>
      </c>
      <c r="I240" t="s">
        <v>14</v>
      </c>
      <c r="J240" t="s">
        <v>174</v>
      </c>
      <c r="K240">
        <f>IF(tbl_ChargingStation[[#This Row],[status]]="Operational",1,0)</f>
        <v>1</v>
      </c>
      <c r="L240">
        <f t="shared" si="6"/>
        <v>2</v>
      </c>
      <c r="M240" t="str">
        <f t="shared" si="7"/>
        <v>Kerala</v>
      </c>
    </row>
    <row r="241" spans="1:13">
      <c r="A241">
        <v>474568</v>
      </c>
      <c r="B241" t="s">
        <v>269</v>
      </c>
      <c r="C241" t="s">
        <v>270</v>
      </c>
      <c r="D241" t="s">
        <v>70</v>
      </c>
      <c r="E241" t="s">
        <v>13</v>
      </c>
      <c r="F241">
        <v>10.70522046</v>
      </c>
      <c r="G241">
        <v>76.089267599999999</v>
      </c>
      <c r="H241">
        <v>2</v>
      </c>
      <c r="I241" t="s">
        <v>14</v>
      </c>
      <c r="J241" t="s">
        <v>174</v>
      </c>
      <c r="K241">
        <f>IF(tbl_ChargingStation[[#This Row],[status]]="Operational",1,0)</f>
        <v>1</v>
      </c>
      <c r="L241">
        <f t="shared" si="6"/>
        <v>2</v>
      </c>
      <c r="M241" t="str">
        <f t="shared" si="7"/>
        <v>Kerala</v>
      </c>
    </row>
    <row r="242" spans="1:13">
      <c r="A242">
        <v>474567</v>
      </c>
      <c r="B242" t="s">
        <v>271</v>
      </c>
      <c r="C242" t="s">
        <v>272</v>
      </c>
      <c r="D242" t="s">
        <v>70</v>
      </c>
      <c r="E242" t="s">
        <v>13</v>
      </c>
      <c r="F242">
        <v>10.521423220000001</v>
      </c>
      <c r="G242">
        <v>76.051279010000002</v>
      </c>
      <c r="H242">
        <v>2</v>
      </c>
      <c r="I242" t="s">
        <v>14</v>
      </c>
      <c r="J242" t="s">
        <v>174</v>
      </c>
      <c r="K242">
        <f>IF(tbl_ChargingStation[[#This Row],[status]]="Operational",1,0)</f>
        <v>1</v>
      </c>
      <c r="L242">
        <f t="shared" si="6"/>
        <v>2</v>
      </c>
      <c r="M242" t="str">
        <f t="shared" si="7"/>
        <v>Kerala</v>
      </c>
    </row>
    <row r="243" spans="1:13">
      <c r="A243">
        <v>474563</v>
      </c>
      <c r="B243" t="s">
        <v>277</v>
      </c>
      <c r="C243" t="s">
        <v>278</v>
      </c>
      <c r="D243" t="s">
        <v>70</v>
      </c>
      <c r="E243" t="s">
        <v>13</v>
      </c>
      <c r="F243">
        <v>10.528605750000001</v>
      </c>
      <c r="G243">
        <v>76.255621129999994</v>
      </c>
      <c r="H243">
        <v>2</v>
      </c>
      <c r="I243" t="s">
        <v>14</v>
      </c>
      <c r="J243" t="s">
        <v>174</v>
      </c>
      <c r="K243">
        <f>IF(tbl_ChargingStation[[#This Row],[status]]="Operational",1,0)</f>
        <v>1</v>
      </c>
      <c r="L243">
        <f t="shared" si="6"/>
        <v>2</v>
      </c>
      <c r="M243" t="str">
        <f t="shared" si="7"/>
        <v>Kerala</v>
      </c>
    </row>
    <row r="244" spans="1:13">
      <c r="A244">
        <v>474561</v>
      </c>
      <c r="B244" t="s">
        <v>280</v>
      </c>
      <c r="C244" t="s">
        <v>169</v>
      </c>
      <c r="D244" t="s">
        <v>70</v>
      </c>
      <c r="E244" t="s">
        <v>13</v>
      </c>
      <c r="F244">
        <v>10.511219799999999</v>
      </c>
      <c r="G244">
        <v>76.21322687</v>
      </c>
      <c r="H244">
        <v>2</v>
      </c>
      <c r="I244" t="s">
        <v>14</v>
      </c>
      <c r="J244" t="s">
        <v>174</v>
      </c>
      <c r="K244">
        <f>IF(tbl_ChargingStation[[#This Row],[status]]="Operational",1,0)</f>
        <v>1</v>
      </c>
      <c r="L244">
        <f t="shared" si="6"/>
        <v>2</v>
      </c>
      <c r="M244" t="str">
        <f t="shared" si="7"/>
        <v>Kerala</v>
      </c>
    </row>
    <row r="245" spans="1:13">
      <c r="A245">
        <v>474555</v>
      </c>
      <c r="B245" t="s">
        <v>291</v>
      </c>
      <c r="C245" t="s">
        <v>292</v>
      </c>
      <c r="D245" t="s">
        <v>70</v>
      </c>
      <c r="E245" t="s">
        <v>13</v>
      </c>
      <c r="F245">
        <v>9.7432319809999992</v>
      </c>
      <c r="G245">
        <v>76.319428619999996</v>
      </c>
      <c r="H245">
        <v>2</v>
      </c>
      <c r="I245" t="s">
        <v>14</v>
      </c>
      <c r="J245" t="s">
        <v>174</v>
      </c>
      <c r="K245">
        <f>IF(tbl_ChargingStation[[#This Row],[status]]="Operational",1,0)</f>
        <v>1</v>
      </c>
      <c r="L245">
        <f t="shared" si="6"/>
        <v>2</v>
      </c>
      <c r="M245" t="str">
        <f t="shared" si="7"/>
        <v>Kerala</v>
      </c>
    </row>
    <row r="246" spans="1:13">
      <c r="A246">
        <v>474553</v>
      </c>
      <c r="B246" t="s">
        <v>295</v>
      </c>
      <c r="C246" t="s">
        <v>296</v>
      </c>
      <c r="D246" t="s">
        <v>70</v>
      </c>
      <c r="E246" t="s">
        <v>13</v>
      </c>
      <c r="F246">
        <v>10.05906858</v>
      </c>
      <c r="G246">
        <v>76.683979590000007</v>
      </c>
      <c r="H246">
        <v>2</v>
      </c>
      <c r="I246" t="s">
        <v>14</v>
      </c>
      <c r="J246" t="s">
        <v>174</v>
      </c>
      <c r="K246">
        <f>IF(tbl_ChargingStation[[#This Row],[status]]="Operational",1,0)</f>
        <v>1</v>
      </c>
      <c r="L246">
        <f t="shared" si="6"/>
        <v>2</v>
      </c>
      <c r="M246" t="str">
        <f t="shared" si="7"/>
        <v>Kerala</v>
      </c>
    </row>
    <row r="247" spans="1:13">
      <c r="A247">
        <v>474550</v>
      </c>
      <c r="B247" t="s">
        <v>299</v>
      </c>
      <c r="C247" t="s">
        <v>300</v>
      </c>
      <c r="D247" t="s">
        <v>70</v>
      </c>
      <c r="E247" t="s">
        <v>13</v>
      </c>
      <c r="F247">
        <v>9.796182731</v>
      </c>
      <c r="G247">
        <v>76.663308110000003</v>
      </c>
      <c r="H247">
        <v>2</v>
      </c>
      <c r="I247" t="s">
        <v>14</v>
      </c>
      <c r="J247" t="s">
        <v>174</v>
      </c>
      <c r="K247">
        <f>IF(tbl_ChargingStation[[#This Row],[status]]="Operational",1,0)</f>
        <v>1</v>
      </c>
      <c r="L247">
        <f t="shared" si="6"/>
        <v>2</v>
      </c>
      <c r="M247" t="str">
        <f t="shared" si="7"/>
        <v>Kerala</v>
      </c>
    </row>
    <row r="248" spans="1:13">
      <c r="A248">
        <v>474549</v>
      </c>
      <c r="B248" t="s">
        <v>301</v>
      </c>
      <c r="C248" t="s">
        <v>83</v>
      </c>
      <c r="D248" t="s">
        <v>70</v>
      </c>
      <c r="E248" t="s">
        <v>13</v>
      </c>
      <c r="F248">
        <v>9.7188467660000004</v>
      </c>
      <c r="G248">
        <v>76.525173690000003</v>
      </c>
      <c r="H248">
        <v>2</v>
      </c>
      <c r="I248" t="s">
        <v>14</v>
      </c>
      <c r="J248" t="s">
        <v>174</v>
      </c>
      <c r="K248">
        <f>IF(tbl_ChargingStation[[#This Row],[status]]="Operational",1,0)</f>
        <v>1</v>
      </c>
      <c r="L248">
        <f t="shared" si="6"/>
        <v>2</v>
      </c>
      <c r="M248" t="str">
        <f t="shared" si="7"/>
        <v>Kerala</v>
      </c>
    </row>
    <row r="249" spans="1:13">
      <c r="A249">
        <v>474544</v>
      </c>
      <c r="B249" t="s">
        <v>309</v>
      </c>
      <c r="C249" t="s">
        <v>310</v>
      </c>
      <c r="D249" t="s">
        <v>70</v>
      </c>
      <c r="E249" t="s">
        <v>13</v>
      </c>
      <c r="F249">
        <v>9.7197523449999998</v>
      </c>
      <c r="G249">
        <v>76.691662940000001</v>
      </c>
      <c r="H249">
        <v>2</v>
      </c>
      <c r="I249" t="s">
        <v>14</v>
      </c>
      <c r="J249" t="s">
        <v>174</v>
      </c>
      <c r="K249">
        <f>IF(tbl_ChargingStation[[#This Row],[status]]="Operational",1,0)</f>
        <v>1</v>
      </c>
      <c r="L249">
        <f t="shared" si="6"/>
        <v>2</v>
      </c>
      <c r="M249" t="str">
        <f t="shared" si="7"/>
        <v>Kerala</v>
      </c>
    </row>
    <row r="250" spans="1:13">
      <c r="A250">
        <v>474543</v>
      </c>
      <c r="B250" t="s">
        <v>311</v>
      </c>
      <c r="C250" t="s">
        <v>312</v>
      </c>
      <c r="D250" t="s">
        <v>70</v>
      </c>
      <c r="E250" t="s">
        <v>13</v>
      </c>
      <c r="F250">
        <v>9.6060836389999995</v>
      </c>
      <c r="G250">
        <v>76.576150470000002</v>
      </c>
      <c r="H250">
        <v>2</v>
      </c>
      <c r="I250" t="s">
        <v>14</v>
      </c>
      <c r="J250" t="s">
        <v>174</v>
      </c>
      <c r="K250">
        <f>IF(tbl_ChargingStation[[#This Row],[status]]="Operational",1,0)</f>
        <v>1</v>
      </c>
      <c r="L250">
        <f t="shared" si="6"/>
        <v>2</v>
      </c>
      <c r="M250" t="str">
        <f t="shared" si="7"/>
        <v>Kerala</v>
      </c>
    </row>
    <row r="251" spans="1:13">
      <c r="A251">
        <v>474542</v>
      </c>
      <c r="B251" t="s">
        <v>313</v>
      </c>
      <c r="C251" t="s">
        <v>314</v>
      </c>
      <c r="D251" t="s">
        <v>70</v>
      </c>
      <c r="E251" t="s">
        <v>13</v>
      </c>
      <c r="F251">
        <v>9.5096745729999999</v>
      </c>
      <c r="G251">
        <v>76.693360740000003</v>
      </c>
      <c r="H251">
        <v>2</v>
      </c>
      <c r="I251" t="s">
        <v>14</v>
      </c>
      <c r="J251" t="s">
        <v>174</v>
      </c>
      <c r="K251">
        <f>IF(tbl_ChargingStation[[#This Row],[status]]="Operational",1,0)</f>
        <v>1</v>
      </c>
      <c r="L251">
        <f t="shared" si="6"/>
        <v>2</v>
      </c>
      <c r="M251" t="str">
        <f t="shared" si="7"/>
        <v>Kerala</v>
      </c>
    </row>
    <row r="252" spans="1:13">
      <c r="A252">
        <v>474540</v>
      </c>
      <c r="B252" t="s">
        <v>317</v>
      </c>
      <c r="C252" t="s">
        <v>318</v>
      </c>
      <c r="D252" t="s">
        <v>70</v>
      </c>
      <c r="E252" t="s">
        <v>13</v>
      </c>
      <c r="F252">
        <v>9.4737942700000009</v>
      </c>
      <c r="G252">
        <v>76.528514380000004</v>
      </c>
      <c r="H252">
        <v>2</v>
      </c>
      <c r="I252" t="s">
        <v>14</v>
      </c>
      <c r="J252" t="s">
        <v>174</v>
      </c>
      <c r="K252">
        <f>IF(tbl_ChargingStation[[#This Row],[status]]="Operational",1,0)</f>
        <v>1</v>
      </c>
      <c r="L252">
        <f t="shared" si="6"/>
        <v>2</v>
      </c>
      <c r="M252" t="str">
        <f t="shared" si="7"/>
        <v>Kerala</v>
      </c>
    </row>
    <row r="253" spans="1:13">
      <c r="A253">
        <v>474539</v>
      </c>
      <c r="B253" t="s">
        <v>319</v>
      </c>
      <c r="C253" t="s">
        <v>320</v>
      </c>
      <c r="D253" t="s">
        <v>70</v>
      </c>
      <c r="E253" t="s">
        <v>13</v>
      </c>
      <c r="F253">
        <v>9.4177052400000001</v>
      </c>
      <c r="G253">
        <v>76.488120510000002</v>
      </c>
      <c r="H253">
        <v>2</v>
      </c>
      <c r="I253" t="s">
        <v>14</v>
      </c>
      <c r="J253" t="s">
        <v>174</v>
      </c>
      <c r="K253">
        <f>IF(tbl_ChargingStation[[#This Row],[status]]="Operational",1,0)</f>
        <v>1</v>
      </c>
      <c r="L253">
        <f t="shared" si="6"/>
        <v>2</v>
      </c>
      <c r="M253" t="str">
        <f t="shared" si="7"/>
        <v>Kerala</v>
      </c>
    </row>
    <row r="254" spans="1:13">
      <c r="A254">
        <v>474538</v>
      </c>
      <c r="B254" t="s">
        <v>321</v>
      </c>
      <c r="C254" t="s">
        <v>322</v>
      </c>
      <c r="D254" t="s">
        <v>70</v>
      </c>
      <c r="E254" t="s">
        <v>13</v>
      </c>
      <c r="F254">
        <v>9.3573435620000005</v>
      </c>
      <c r="G254">
        <v>76.590624450000007</v>
      </c>
      <c r="H254">
        <v>2</v>
      </c>
      <c r="I254" t="s">
        <v>14</v>
      </c>
      <c r="J254" t="s">
        <v>174</v>
      </c>
      <c r="K254">
        <f>IF(tbl_ChargingStation[[#This Row],[status]]="Operational",1,0)</f>
        <v>1</v>
      </c>
      <c r="L254">
        <f t="shared" si="6"/>
        <v>2</v>
      </c>
      <c r="M254" t="str">
        <f t="shared" si="7"/>
        <v>Kerala</v>
      </c>
    </row>
    <row r="255" spans="1:13">
      <c r="A255">
        <v>474474</v>
      </c>
      <c r="B255" t="s">
        <v>331</v>
      </c>
      <c r="C255" t="s">
        <v>332</v>
      </c>
      <c r="D255" t="s">
        <v>70</v>
      </c>
      <c r="E255" t="s">
        <v>13</v>
      </c>
      <c r="F255">
        <v>8.9832299750000004</v>
      </c>
      <c r="G255">
        <v>76.534770399999999</v>
      </c>
      <c r="H255">
        <v>2</v>
      </c>
      <c r="I255" t="s">
        <v>14</v>
      </c>
      <c r="J255" t="s">
        <v>174</v>
      </c>
      <c r="K255">
        <f>IF(tbl_ChargingStation[[#This Row],[status]]="Operational",1,0)</f>
        <v>1</v>
      </c>
      <c r="L255">
        <f t="shared" si="6"/>
        <v>2</v>
      </c>
      <c r="M255" t="str">
        <f t="shared" si="7"/>
        <v>Kerala</v>
      </c>
    </row>
    <row r="256" spans="1:13">
      <c r="A256">
        <v>474473</v>
      </c>
      <c r="B256" t="s">
        <v>331</v>
      </c>
      <c r="C256" t="s">
        <v>332</v>
      </c>
      <c r="D256" t="s">
        <v>70</v>
      </c>
      <c r="E256" t="s">
        <v>13</v>
      </c>
      <c r="F256">
        <v>8.9832299750000004</v>
      </c>
      <c r="G256">
        <v>76.534770399999999</v>
      </c>
      <c r="H256">
        <v>2</v>
      </c>
      <c r="I256" t="s">
        <v>14</v>
      </c>
      <c r="J256" t="s">
        <v>174</v>
      </c>
      <c r="K256">
        <f>IF(tbl_ChargingStation[[#This Row],[status]]="Operational",1,0)</f>
        <v>1</v>
      </c>
      <c r="L256">
        <f t="shared" si="6"/>
        <v>2</v>
      </c>
      <c r="M256" t="str">
        <f t="shared" si="7"/>
        <v>Kerala</v>
      </c>
    </row>
    <row r="257" spans="1:13">
      <c r="A257">
        <v>474471</v>
      </c>
      <c r="B257" t="s">
        <v>335</v>
      </c>
      <c r="C257" t="s">
        <v>336</v>
      </c>
      <c r="D257" t="s">
        <v>70</v>
      </c>
      <c r="E257" t="s">
        <v>13</v>
      </c>
      <c r="F257">
        <v>8.9629576830000008</v>
      </c>
      <c r="G257">
        <v>76.835557640000005</v>
      </c>
      <c r="H257">
        <v>2</v>
      </c>
      <c r="I257" t="s">
        <v>14</v>
      </c>
      <c r="J257" t="s">
        <v>174</v>
      </c>
      <c r="K257">
        <f>IF(tbl_ChargingStation[[#This Row],[status]]="Operational",1,0)</f>
        <v>1</v>
      </c>
      <c r="L257">
        <f t="shared" si="6"/>
        <v>2</v>
      </c>
      <c r="M257" t="str">
        <f t="shared" si="7"/>
        <v>Kerala</v>
      </c>
    </row>
    <row r="258" spans="1:13">
      <c r="A258">
        <v>474470</v>
      </c>
      <c r="B258" t="s">
        <v>337</v>
      </c>
      <c r="C258" t="s">
        <v>338</v>
      </c>
      <c r="D258" t="s">
        <v>70</v>
      </c>
      <c r="E258" t="s">
        <v>13</v>
      </c>
      <c r="F258">
        <v>8.9213146250000008</v>
      </c>
      <c r="G258">
        <v>76.576369709999994</v>
      </c>
      <c r="H258">
        <v>2</v>
      </c>
      <c r="I258" t="s">
        <v>14</v>
      </c>
      <c r="J258" t="s">
        <v>174</v>
      </c>
      <c r="K258">
        <f>IF(tbl_ChargingStation[[#This Row],[status]]="Operational",1,0)</f>
        <v>1</v>
      </c>
      <c r="L258">
        <f t="shared" ref="L258:L321" si="8">H258*K258</f>
        <v>2</v>
      </c>
      <c r="M258" t="str">
        <f t="shared" ref="M258:M321" si="9">IF(D258="GJ","Gujarat",IF(OR(D258="Keral",D258="Keraka",D258="Lerala"),"Kerala",IF(D258="MH","Maharashtra",IF(D258="MP","Madhya Pradesh",IF(D258="RJ","Rajasthan",IF(D258="TAMILNADU","Tamil Nadu",IF(D258="Uttarakhnad","Uttarakhand",D258)))))))</f>
        <v>Kerala</v>
      </c>
    </row>
    <row r="259" spans="1:13">
      <c r="A259">
        <v>474467</v>
      </c>
      <c r="B259" t="s">
        <v>341</v>
      </c>
      <c r="C259" t="s">
        <v>187</v>
      </c>
      <c r="D259" t="s">
        <v>70</v>
      </c>
      <c r="E259" t="s">
        <v>13</v>
      </c>
      <c r="F259">
        <v>8.5004760449999992</v>
      </c>
      <c r="G259">
        <v>76.952289640000004</v>
      </c>
      <c r="H259">
        <v>2</v>
      </c>
      <c r="I259" t="s">
        <v>14</v>
      </c>
      <c r="J259" t="s">
        <v>174</v>
      </c>
      <c r="K259">
        <f>IF(tbl_ChargingStation[[#This Row],[status]]="Operational",1,0)</f>
        <v>1</v>
      </c>
      <c r="L259">
        <f t="shared" si="8"/>
        <v>2</v>
      </c>
      <c r="M259" t="str">
        <f t="shared" si="9"/>
        <v>Kerala</v>
      </c>
    </row>
    <row r="260" spans="1:13">
      <c r="A260">
        <v>474466</v>
      </c>
      <c r="B260" t="s">
        <v>341</v>
      </c>
      <c r="C260" t="s">
        <v>187</v>
      </c>
      <c r="D260" t="s">
        <v>70</v>
      </c>
      <c r="E260" t="s">
        <v>13</v>
      </c>
      <c r="F260">
        <v>8.5004760449999992</v>
      </c>
      <c r="G260">
        <v>76.952289640000004</v>
      </c>
      <c r="H260">
        <v>2</v>
      </c>
      <c r="I260" t="s">
        <v>14</v>
      </c>
      <c r="J260" t="s">
        <v>174</v>
      </c>
      <c r="K260">
        <f>IF(tbl_ChargingStation[[#This Row],[status]]="Operational",1,0)</f>
        <v>1</v>
      </c>
      <c r="L260">
        <f t="shared" si="8"/>
        <v>2</v>
      </c>
      <c r="M260" t="str">
        <f t="shared" si="9"/>
        <v>Kerala</v>
      </c>
    </row>
    <row r="261" spans="1:13">
      <c r="A261">
        <v>474464</v>
      </c>
      <c r="B261" t="s">
        <v>343</v>
      </c>
      <c r="C261" t="s">
        <v>344</v>
      </c>
      <c r="D261" t="s">
        <v>70</v>
      </c>
      <c r="E261" t="s">
        <v>13</v>
      </c>
      <c r="F261">
        <v>8.4918428640000005</v>
      </c>
      <c r="G261">
        <v>76.920168200000006</v>
      </c>
      <c r="H261">
        <v>2</v>
      </c>
      <c r="I261" t="s">
        <v>14</v>
      </c>
      <c r="J261" t="s">
        <v>174</v>
      </c>
      <c r="K261">
        <f>IF(tbl_ChargingStation[[#This Row],[status]]="Operational",1,0)</f>
        <v>1</v>
      </c>
      <c r="L261">
        <f t="shared" si="8"/>
        <v>2</v>
      </c>
      <c r="M261" t="str">
        <f t="shared" si="9"/>
        <v>Kerala</v>
      </c>
    </row>
    <row r="262" spans="1:13">
      <c r="A262">
        <v>474463</v>
      </c>
      <c r="B262" t="s">
        <v>345</v>
      </c>
      <c r="C262" t="s">
        <v>187</v>
      </c>
      <c r="D262" t="s">
        <v>70</v>
      </c>
      <c r="E262" t="s">
        <v>13</v>
      </c>
      <c r="F262">
        <v>8.5726519650000004</v>
      </c>
      <c r="G262">
        <v>76.870401259999994</v>
      </c>
      <c r="H262">
        <v>2</v>
      </c>
      <c r="I262" t="s">
        <v>14</v>
      </c>
      <c r="J262" t="s">
        <v>174</v>
      </c>
      <c r="K262">
        <f>IF(tbl_ChargingStation[[#This Row],[status]]="Operational",1,0)</f>
        <v>1</v>
      </c>
      <c r="L262">
        <f t="shared" si="8"/>
        <v>2</v>
      </c>
      <c r="M262" t="str">
        <f t="shared" si="9"/>
        <v>Kerala</v>
      </c>
    </row>
    <row r="263" spans="1:13">
      <c r="A263">
        <v>474191</v>
      </c>
      <c r="B263" t="s">
        <v>355</v>
      </c>
      <c r="C263" t="s">
        <v>356</v>
      </c>
      <c r="D263" t="s">
        <v>357</v>
      </c>
      <c r="E263" t="s">
        <v>13</v>
      </c>
      <c r="F263">
        <v>16.536666790000002</v>
      </c>
      <c r="G263">
        <v>74.319957639999998</v>
      </c>
      <c r="H263">
        <v>2</v>
      </c>
      <c r="I263" t="s">
        <v>14</v>
      </c>
      <c r="J263" t="s">
        <v>358</v>
      </c>
      <c r="K263">
        <f>IF(tbl_ChargingStation[[#This Row],[status]]="Operational",1,0)</f>
        <v>1</v>
      </c>
      <c r="L263">
        <f t="shared" si="8"/>
        <v>2</v>
      </c>
      <c r="M263" t="str">
        <f t="shared" si="9"/>
        <v>Karnataka</v>
      </c>
    </row>
    <row r="264" spans="1:13">
      <c r="A264">
        <v>472811</v>
      </c>
      <c r="B264" t="s">
        <v>368</v>
      </c>
      <c r="C264" t="s">
        <v>369</v>
      </c>
      <c r="D264" t="s">
        <v>225</v>
      </c>
      <c r="E264" t="s">
        <v>13</v>
      </c>
      <c r="F264">
        <v>27.612047010000001</v>
      </c>
      <c r="G264">
        <v>77.741850729999996</v>
      </c>
      <c r="H264">
        <v>2</v>
      </c>
      <c r="I264" t="s">
        <v>14</v>
      </c>
      <c r="J264" t="s">
        <v>358</v>
      </c>
      <c r="K264">
        <f>IF(tbl_ChargingStation[[#This Row],[status]]="Operational",1,0)</f>
        <v>1</v>
      </c>
      <c r="L264">
        <f t="shared" si="8"/>
        <v>2</v>
      </c>
      <c r="M264" t="str">
        <f t="shared" si="9"/>
        <v>Uttar Pradesh</v>
      </c>
    </row>
    <row r="265" spans="1:13">
      <c r="A265">
        <v>472810</v>
      </c>
      <c r="B265" t="s">
        <v>370</v>
      </c>
      <c r="C265" t="s">
        <v>369</v>
      </c>
      <c r="D265" t="s">
        <v>225</v>
      </c>
      <c r="E265" t="s">
        <v>13</v>
      </c>
      <c r="F265">
        <v>27.55039597</v>
      </c>
      <c r="G265">
        <v>77.755062640000006</v>
      </c>
      <c r="H265">
        <v>2</v>
      </c>
      <c r="I265" t="s">
        <v>14</v>
      </c>
      <c r="J265" t="s">
        <v>358</v>
      </c>
      <c r="K265">
        <f>IF(tbl_ChargingStation[[#This Row],[status]]="Operational",1,0)</f>
        <v>1</v>
      </c>
      <c r="L265">
        <f t="shared" si="8"/>
        <v>2</v>
      </c>
      <c r="M265" t="str">
        <f t="shared" si="9"/>
        <v>Uttar Pradesh</v>
      </c>
    </row>
    <row r="266" spans="1:13">
      <c r="A266">
        <v>471855</v>
      </c>
      <c r="B266" t="s">
        <v>394</v>
      </c>
      <c r="C266" t="s">
        <v>395</v>
      </c>
      <c r="D266" t="s">
        <v>12</v>
      </c>
      <c r="E266" t="s">
        <v>13</v>
      </c>
      <c r="F266">
        <v>24.68468468</v>
      </c>
      <c r="G266">
        <v>77.337371489999995</v>
      </c>
      <c r="H266">
        <v>2</v>
      </c>
      <c r="I266" t="s">
        <v>14</v>
      </c>
      <c r="J266" t="s">
        <v>139</v>
      </c>
      <c r="K266">
        <f>IF(tbl_ChargingStation[[#This Row],[status]]="Operational",1,0)</f>
        <v>1</v>
      </c>
      <c r="L266">
        <f t="shared" si="8"/>
        <v>2</v>
      </c>
      <c r="M266" t="str">
        <f t="shared" si="9"/>
        <v>Unknown</v>
      </c>
    </row>
    <row r="267" spans="1:13">
      <c r="A267">
        <v>471854</v>
      </c>
      <c r="B267" t="s">
        <v>396</v>
      </c>
      <c r="C267" t="s">
        <v>395</v>
      </c>
      <c r="D267" t="s">
        <v>365</v>
      </c>
      <c r="E267" t="s">
        <v>13</v>
      </c>
      <c r="F267">
        <v>24.540540539999999</v>
      </c>
      <c r="G267">
        <v>77.208677840000007</v>
      </c>
      <c r="H267">
        <v>2</v>
      </c>
      <c r="I267" t="s">
        <v>14</v>
      </c>
      <c r="J267" t="s">
        <v>139</v>
      </c>
      <c r="K267">
        <f>IF(tbl_ChargingStation[[#This Row],[status]]="Operational",1,0)</f>
        <v>1</v>
      </c>
      <c r="L267">
        <f t="shared" si="8"/>
        <v>2</v>
      </c>
      <c r="M267" t="str">
        <f t="shared" si="9"/>
        <v>Madhya Pradesh</v>
      </c>
    </row>
    <row r="268" spans="1:13">
      <c r="A268">
        <v>471853</v>
      </c>
      <c r="B268" t="s">
        <v>397</v>
      </c>
      <c r="C268" t="s">
        <v>398</v>
      </c>
      <c r="D268" t="s">
        <v>365</v>
      </c>
      <c r="E268" t="s">
        <v>13</v>
      </c>
      <c r="F268">
        <v>23.963963960000001</v>
      </c>
      <c r="G268">
        <v>76.938304029999998</v>
      </c>
      <c r="H268">
        <v>2</v>
      </c>
      <c r="I268" t="s">
        <v>14</v>
      </c>
      <c r="J268" t="s">
        <v>139</v>
      </c>
      <c r="K268">
        <f>IF(tbl_ChargingStation[[#This Row],[status]]="Operational",1,0)</f>
        <v>1</v>
      </c>
      <c r="L268">
        <f t="shared" si="8"/>
        <v>2</v>
      </c>
      <c r="M268" t="str">
        <f t="shared" si="9"/>
        <v>Madhya Pradesh</v>
      </c>
    </row>
    <row r="269" spans="1:13">
      <c r="A269">
        <v>470760</v>
      </c>
      <c r="B269" t="s">
        <v>402</v>
      </c>
      <c r="C269" t="s">
        <v>403</v>
      </c>
      <c r="D269" t="s">
        <v>138</v>
      </c>
      <c r="E269" t="s">
        <v>13</v>
      </c>
      <c r="F269">
        <v>10.777438999999999</v>
      </c>
      <c r="G269">
        <v>77.920824999999994</v>
      </c>
      <c r="H269">
        <v>2</v>
      </c>
      <c r="I269" t="s">
        <v>14</v>
      </c>
      <c r="J269" t="s">
        <v>404</v>
      </c>
      <c r="K269">
        <f>IF(tbl_ChargingStation[[#This Row],[status]]="Operational",1,0)</f>
        <v>1</v>
      </c>
      <c r="L269">
        <f t="shared" si="8"/>
        <v>2</v>
      </c>
      <c r="M269" t="str">
        <f t="shared" si="9"/>
        <v>Tamil Nadu</v>
      </c>
    </row>
    <row r="270" spans="1:13">
      <c r="A270">
        <v>469744</v>
      </c>
      <c r="B270" t="s">
        <v>408</v>
      </c>
      <c r="C270" t="s">
        <v>409</v>
      </c>
      <c r="D270" t="s">
        <v>203</v>
      </c>
      <c r="E270" t="s">
        <v>13</v>
      </c>
      <c r="F270">
        <v>27.28713106</v>
      </c>
      <c r="G270">
        <v>76.77469481</v>
      </c>
      <c r="H270">
        <v>2</v>
      </c>
      <c r="I270" t="s">
        <v>14</v>
      </c>
      <c r="J270" t="s">
        <v>392</v>
      </c>
      <c r="K270">
        <f>IF(tbl_ChargingStation[[#This Row],[status]]="Operational",1,0)</f>
        <v>1</v>
      </c>
      <c r="L270">
        <f t="shared" si="8"/>
        <v>2</v>
      </c>
      <c r="M270" t="str">
        <f t="shared" si="9"/>
        <v>Rajasthan</v>
      </c>
    </row>
    <row r="271" spans="1:13">
      <c r="A271">
        <v>469742</v>
      </c>
      <c r="B271" t="s">
        <v>410</v>
      </c>
      <c r="C271" t="s">
        <v>411</v>
      </c>
      <c r="D271" t="s">
        <v>219</v>
      </c>
      <c r="E271" t="s">
        <v>13</v>
      </c>
      <c r="F271">
        <v>22.81045962</v>
      </c>
      <c r="G271">
        <v>74.300685220000005</v>
      </c>
      <c r="H271">
        <v>2</v>
      </c>
      <c r="I271" t="s">
        <v>14</v>
      </c>
      <c r="J271" t="s">
        <v>195</v>
      </c>
      <c r="K271">
        <f>IF(tbl_ChargingStation[[#This Row],[status]]="Operational",1,0)</f>
        <v>1</v>
      </c>
      <c r="L271">
        <f t="shared" si="8"/>
        <v>2</v>
      </c>
      <c r="M271" t="str">
        <f t="shared" si="9"/>
        <v>Gujarat</v>
      </c>
    </row>
    <row r="272" spans="1:13">
      <c r="A272">
        <v>469522</v>
      </c>
      <c r="B272" t="s">
        <v>412</v>
      </c>
      <c r="C272" t="s">
        <v>413</v>
      </c>
      <c r="D272" t="s">
        <v>219</v>
      </c>
      <c r="E272" t="s">
        <v>13</v>
      </c>
      <c r="F272">
        <v>22.287645149999999</v>
      </c>
      <c r="G272">
        <v>73.132225790000007</v>
      </c>
      <c r="H272">
        <v>2</v>
      </c>
      <c r="I272" t="s">
        <v>14</v>
      </c>
      <c r="J272" t="s">
        <v>195</v>
      </c>
      <c r="K272">
        <f>IF(tbl_ChargingStation[[#This Row],[status]]="Operational",1,0)</f>
        <v>1</v>
      </c>
      <c r="L272">
        <f t="shared" si="8"/>
        <v>2</v>
      </c>
      <c r="M272" t="str">
        <f t="shared" si="9"/>
        <v>Gujarat</v>
      </c>
    </row>
    <row r="273" spans="1:13">
      <c r="A273">
        <v>469487</v>
      </c>
      <c r="B273" t="s">
        <v>419</v>
      </c>
      <c r="C273" t="s">
        <v>420</v>
      </c>
      <c r="D273" t="s">
        <v>216</v>
      </c>
      <c r="E273" t="s">
        <v>13</v>
      </c>
      <c r="F273">
        <v>19.677940660000001</v>
      </c>
      <c r="G273">
        <v>72.908046170000006</v>
      </c>
      <c r="H273">
        <v>2</v>
      </c>
      <c r="I273" t="s">
        <v>14</v>
      </c>
      <c r="J273" t="s">
        <v>139</v>
      </c>
      <c r="K273">
        <f>IF(tbl_ChargingStation[[#This Row],[status]]="Operational",1,0)</f>
        <v>1</v>
      </c>
      <c r="L273">
        <f t="shared" si="8"/>
        <v>2</v>
      </c>
      <c r="M273" t="str">
        <f t="shared" si="9"/>
        <v>Maharashtra</v>
      </c>
    </row>
    <row r="274" spans="1:13">
      <c r="A274">
        <v>469357</v>
      </c>
      <c r="B274" t="s">
        <v>429</v>
      </c>
      <c r="C274" t="s">
        <v>430</v>
      </c>
      <c r="D274" t="s">
        <v>431</v>
      </c>
      <c r="E274" t="s">
        <v>13</v>
      </c>
      <c r="F274">
        <v>28.998167110000001</v>
      </c>
      <c r="G274">
        <v>79.415785760000006</v>
      </c>
      <c r="H274">
        <v>2</v>
      </c>
      <c r="I274" t="s">
        <v>14</v>
      </c>
      <c r="J274" t="s">
        <v>358</v>
      </c>
      <c r="K274">
        <f>IF(tbl_ChargingStation[[#This Row],[status]]="Operational",1,0)</f>
        <v>1</v>
      </c>
      <c r="L274">
        <f t="shared" si="8"/>
        <v>2</v>
      </c>
      <c r="M274" t="str">
        <f t="shared" si="9"/>
        <v>Uttarakhand</v>
      </c>
    </row>
    <row r="275" spans="1:13">
      <c r="A275">
        <v>464531</v>
      </c>
      <c r="B275" t="s">
        <v>441</v>
      </c>
      <c r="C275" t="s">
        <v>442</v>
      </c>
      <c r="D275" t="s">
        <v>443</v>
      </c>
      <c r="E275" t="s">
        <v>13</v>
      </c>
      <c r="F275">
        <v>26.83799922</v>
      </c>
      <c r="G275">
        <v>80.986727040000005</v>
      </c>
      <c r="H275">
        <v>2</v>
      </c>
      <c r="I275" t="s">
        <v>14</v>
      </c>
      <c r="J275" t="s">
        <v>444</v>
      </c>
      <c r="K275">
        <f>IF(tbl_ChargingStation[[#This Row],[status]]="Operational",1,0)</f>
        <v>1</v>
      </c>
      <c r="L275">
        <f t="shared" si="8"/>
        <v>2</v>
      </c>
      <c r="M275" t="str">
        <f t="shared" si="9"/>
        <v>UTTAR PRADESH</v>
      </c>
    </row>
    <row r="276" spans="1:13">
      <c r="A276">
        <v>464405</v>
      </c>
      <c r="B276" t="s">
        <v>446</v>
      </c>
      <c r="C276" t="s">
        <v>447</v>
      </c>
      <c r="D276" t="s">
        <v>391</v>
      </c>
      <c r="E276" t="s">
        <v>13</v>
      </c>
      <c r="F276">
        <v>24.810179059999999</v>
      </c>
      <c r="G276">
        <v>79.91151232</v>
      </c>
      <c r="H276">
        <v>2</v>
      </c>
      <c r="I276" t="s">
        <v>14</v>
      </c>
      <c r="J276" t="s">
        <v>207</v>
      </c>
      <c r="K276">
        <f>IF(tbl_ChargingStation[[#This Row],[status]]="Operational",1,0)</f>
        <v>1</v>
      </c>
      <c r="L276">
        <f t="shared" si="8"/>
        <v>2</v>
      </c>
      <c r="M276" t="str">
        <f t="shared" si="9"/>
        <v>Madhya Pradesh</v>
      </c>
    </row>
    <row r="277" spans="1:13">
      <c r="A277">
        <v>459990</v>
      </c>
      <c r="B277" t="s">
        <v>470</v>
      </c>
      <c r="C277" t="s">
        <v>471</v>
      </c>
      <c r="D277" t="s">
        <v>12</v>
      </c>
      <c r="E277" t="s">
        <v>13</v>
      </c>
      <c r="F277">
        <v>13.6062729</v>
      </c>
      <c r="G277">
        <v>77.787274699999998</v>
      </c>
      <c r="H277">
        <v>2</v>
      </c>
      <c r="I277" t="s">
        <v>14</v>
      </c>
      <c r="J277" t="s">
        <v>195</v>
      </c>
      <c r="K277">
        <f>IF(tbl_ChargingStation[[#This Row],[status]]="Operational",1,0)</f>
        <v>1</v>
      </c>
      <c r="L277">
        <f t="shared" si="8"/>
        <v>2</v>
      </c>
      <c r="M277" t="str">
        <f t="shared" si="9"/>
        <v>Unknown</v>
      </c>
    </row>
    <row r="278" spans="1:13">
      <c r="A278">
        <v>458918</v>
      </c>
      <c r="B278" t="s">
        <v>472</v>
      </c>
      <c r="C278" t="s">
        <v>473</v>
      </c>
      <c r="D278" t="s">
        <v>70</v>
      </c>
      <c r="E278" t="s">
        <v>13</v>
      </c>
      <c r="F278">
        <v>10.01148474</v>
      </c>
      <c r="G278">
        <v>76.311387499999995</v>
      </c>
      <c r="H278">
        <v>2</v>
      </c>
      <c r="I278" t="s">
        <v>14</v>
      </c>
      <c r="J278" t="s">
        <v>358</v>
      </c>
      <c r="K278">
        <f>IF(tbl_ChargingStation[[#This Row],[status]]="Operational",1,0)</f>
        <v>1</v>
      </c>
      <c r="L278">
        <f t="shared" si="8"/>
        <v>2</v>
      </c>
      <c r="M278" t="str">
        <f t="shared" si="9"/>
        <v>Kerala</v>
      </c>
    </row>
    <row r="279" spans="1:13">
      <c r="A279">
        <v>458910</v>
      </c>
      <c r="B279" t="s">
        <v>485</v>
      </c>
      <c r="C279" t="s">
        <v>264</v>
      </c>
      <c r="D279" t="s">
        <v>70</v>
      </c>
      <c r="E279" t="s">
        <v>13</v>
      </c>
      <c r="F279">
        <v>10.76983098</v>
      </c>
      <c r="G279">
        <v>76.668096500000004</v>
      </c>
      <c r="H279">
        <v>2</v>
      </c>
      <c r="I279" t="s">
        <v>14</v>
      </c>
      <c r="J279" t="s">
        <v>358</v>
      </c>
      <c r="K279">
        <f>IF(tbl_ChargingStation[[#This Row],[status]]="Operational",1,0)</f>
        <v>1</v>
      </c>
      <c r="L279">
        <f t="shared" si="8"/>
        <v>2</v>
      </c>
      <c r="M279" t="str">
        <f t="shared" si="9"/>
        <v>Kerala</v>
      </c>
    </row>
    <row r="280" spans="1:13">
      <c r="A280">
        <v>458907</v>
      </c>
      <c r="B280" t="s">
        <v>490</v>
      </c>
      <c r="C280" t="s">
        <v>169</v>
      </c>
      <c r="D280" t="s">
        <v>70</v>
      </c>
      <c r="E280" t="s">
        <v>13</v>
      </c>
      <c r="F280">
        <v>10.496728470000001</v>
      </c>
      <c r="G280">
        <v>76.258361309999998</v>
      </c>
      <c r="H280">
        <v>2</v>
      </c>
      <c r="I280" t="s">
        <v>14</v>
      </c>
      <c r="J280" t="s">
        <v>358</v>
      </c>
      <c r="K280">
        <f>IF(tbl_ChargingStation[[#This Row],[status]]="Operational",1,0)</f>
        <v>1</v>
      </c>
      <c r="L280">
        <f t="shared" si="8"/>
        <v>2</v>
      </c>
      <c r="M280" t="str">
        <f t="shared" si="9"/>
        <v>Kerala</v>
      </c>
    </row>
    <row r="281" spans="1:13">
      <c r="A281">
        <v>458905</v>
      </c>
      <c r="B281" t="s">
        <v>492</v>
      </c>
      <c r="C281" t="s">
        <v>169</v>
      </c>
      <c r="D281" t="s">
        <v>70</v>
      </c>
      <c r="E281" t="s">
        <v>13</v>
      </c>
      <c r="F281">
        <v>10.54042299</v>
      </c>
      <c r="G281">
        <v>76.18967782</v>
      </c>
      <c r="H281">
        <v>2</v>
      </c>
      <c r="I281" t="s">
        <v>14</v>
      </c>
      <c r="J281" t="s">
        <v>358</v>
      </c>
      <c r="K281">
        <f>IF(tbl_ChargingStation[[#This Row],[status]]="Operational",1,0)</f>
        <v>1</v>
      </c>
      <c r="L281">
        <f t="shared" si="8"/>
        <v>2</v>
      </c>
      <c r="M281" t="str">
        <f t="shared" si="9"/>
        <v>Kerala</v>
      </c>
    </row>
    <row r="282" spans="1:13">
      <c r="A282">
        <v>458904</v>
      </c>
      <c r="B282" t="s">
        <v>493</v>
      </c>
      <c r="C282" t="s">
        <v>111</v>
      </c>
      <c r="D282" t="s">
        <v>70</v>
      </c>
      <c r="E282" t="s">
        <v>13</v>
      </c>
      <c r="F282">
        <v>10.596356979999999</v>
      </c>
      <c r="G282">
        <v>76.042934430000003</v>
      </c>
      <c r="H282">
        <v>2</v>
      </c>
      <c r="I282" t="s">
        <v>14</v>
      </c>
      <c r="J282" t="s">
        <v>358</v>
      </c>
      <c r="K282">
        <f>IF(tbl_ChargingStation[[#This Row],[status]]="Operational",1,0)</f>
        <v>1</v>
      </c>
      <c r="L282">
        <f t="shared" si="8"/>
        <v>2</v>
      </c>
      <c r="M282" t="str">
        <f t="shared" si="9"/>
        <v>Kerala</v>
      </c>
    </row>
    <row r="283" spans="1:13">
      <c r="A283">
        <v>313991</v>
      </c>
      <c r="B283" t="s">
        <v>500</v>
      </c>
      <c r="C283" t="s">
        <v>501</v>
      </c>
      <c r="D283" t="s">
        <v>70</v>
      </c>
      <c r="E283" t="s">
        <v>13</v>
      </c>
      <c r="F283">
        <v>11.052515250000001</v>
      </c>
      <c r="G283">
        <v>76.077640450000004</v>
      </c>
      <c r="H283">
        <v>2</v>
      </c>
      <c r="I283" t="s">
        <v>14</v>
      </c>
      <c r="J283" t="s">
        <v>358</v>
      </c>
      <c r="K283">
        <f>IF(tbl_ChargingStation[[#This Row],[status]]="Operational",1,0)</f>
        <v>1</v>
      </c>
      <c r="L283">
        <f t="shared" si="8"/>
        <v>2</v>
      </c>
      <c r="M283" t="str">
        <f t="shared" si="9"/>
        <v>Kerala</v>
      </c>
    </row>
    <row r="284" spans="1:13">
      <c r="A284">
        <v>313989</v>
      </c>
      <c r="B284" t="s">
        <v>503</v>
      </c>
      <c r="C284" t="s">
        <v>504</v>
      </c>
      <c r="D284" t="s">
        <v>70</v>
      </c>
      <c r="E284" t="s">
        <v>13</v>
      </c>
      <c r="F284">
        <v>11.118906109999999</v>
      </c>
      <c r="G284">
        <v>76.118473739999999</v>
      </c>
      <c r="H284">
        <v>2</v>
      </c>
      <c r="I284" t="s">
        <v>14</v>
      </c>
      <c r="J284" t="s">
        <v>358</v>
      </c>
      <c r="K284">
        <f>IF(tbl_ChargingStation[[#This Row],[status]]="Operational",1,0)</f>
        <v>1</v>
      </c>
      <c r="L284">
        <f t="shared" si="8"/>
        <v>2</v>
      </c>
      <c r="M284" t="str">
        <f t="shared" si="9"/>
        <v>Kerala</v>
      </c>
    </row>
    <row r="285" spans="1:13">
      <c r="A285">
        <v>313988</v>
      </c>
      <c r="B285" t="s">
        <v>505</v>
      </c>
      <c r="C285" t="s">
        <v>506</v>
      </c>
      <c r="D285" t="s">
        <v>70</v>
      </c>
      <c r="E285" t="s">
        <v>13</v>
      </c>
      <c r="F285">
        <v>11.2041462</v>
      </c>
      <c r="G285">
        <v>76.136733530000001</v>
      </c>
      <c r="H285">
        <v>2</v>
      </c>
      <c r="I285" t="s">
        <v>14</v>
      </c>
      <c r="J285" t="s">
        <v>358</v>
      </c>
      <c r="K285">
        <f>IF(tbl_ChargingStation[[#This Row],[status]]="Operational",1,0)</f>
        <v>1</v>
      </c>
      <c r="L285">
        <f t="shared" si="8"/>
        <v>2</v>
      </c>
      <c r="M285" t="str">
        <f t="shared" si="9"/>
        <v>Kerala</v>
      </c>
    </row>
    <row r="286" spans="1:13">
      <c r="A286">
        <v>313978</v>
      </c>
      <c r="B286" t="s">
        <v>510</v>
      </c>
      <c r="C286" t="s">
        <v>511</v>
      </c>
      <c r="D286" t="s">
        <v>70</v>
      </c>
      <c r="E286" t="s">
        <v>13</v>
      </c>
      <c r="F286">
        <v>11.14029227</v>
      </c>
      <c r="G286">
        <v>75.948313709999994</v>
      </c>
      <c r="H286">
        <v>2</v>
      </c>
      <c r="I286" t="s">
        <v>14</v>
      </c>
      <c r="J286" t="s">
        <v>358</v>
      </c>
      <c r="K286">
        <f>IF(tbl_ChargingStation[[#This Row],[status]]="Operational",1,0)</f>
        <v>1</v>
      </c>
      <c r="L286">
        <f t="shared" si="8"/>
        <v>2</v>
      </c>
      <c r="M286" t="str">
        <f t="shared" si="9"/>
        <v>Kerala</v>
      </c>
    </row>
    <row r="287" spans="1:13">
      <c r="A287">
        <v>313955</v>
      </c>
      <c r="B287" t="s">
        <v>512</v>
      </c>
      <c r="C287" t="s">
        <v>197</v>
      </c>
      <c r="D287" t="s">
        <v>70</v>
      </c>
      <c r="E287" t="s">
        <v>13</v>
      </c>
      <c r="F287">
        <v>11.216965269999999</v>
      </c>
      <c r="G287">
        <v>75.857951060000005</v>
      </c>
      <c r="H287">
        <v>2</v>
      </c>
      <c r="I287" t="s">
        <v>14</v>
      </c>
      <c r="J287" t="s">
        <v>358</v>
      </c>
      <c r="K287">
        <f>IF(tbl_ChargingStation[[#This Row],[status]]="Operational",1,0)</f>
        <v>1</v>
      </c>
      <c r="L287">
        <f t="shared" si="8"/>
        <v>2</v>
      </c>
      <c r="M287" t="str">
        <f t="shared" si="9"/>
        <v>Kerala</v>
      </c>
    </row>
    <row r="288" spans="1:13">
      <c r="A288">
        <v>313951</v>
      </c>
      <c r="B288" t="s">
        <v>517</v>
      </c>
      <c r="C288" t="s">
        <v>197</v>
      </c>
      <c r="D288" t="s">
        <v>70</v>
      </c>
      <c r="E288" t="s">
        <v>13</v>
      </c>
      <c r="F288">
        <v>11.259214500000001</v>
      </c>
      <c r="G288">
        <v>75.779334520000006</v>
      </c>
      <c r="H288">
        <v>2</v>
      </c>
      <c r="I288" t="s">
        <v>14</v>
      </c>
      <c r="J288" t="s">
        <v>358</v>
      </c>
      <c r="K288">
        <f>IF(tbl_ChargingStation[[#This Row],[status]]="Operational",1,0)</f>
        <v>1</v>
      </c>
      <c r="L288">
        <f t="shared" si="8"/>
        <v>2</v>
      </c>
      <c r="M288" t="str">
        <f t="shared" si="9"/>
        <v>Kerala</v>
      </c>
    </row>
    <row r="289" spans="1:13">
      <c r="A289">
        <v>313950</v>
      </c>
      <c r="B289" t="s">
        <v>518</v>
      </c>
      <c r="C289" t="s">
        <v>197</v>
      </c>
      <c r="D289" t="s">
        <v>70</v>
      </c>
      <c r="E289" t="s">
        <v>13</v>
      </c>
      <c r="F289">
        <v>11.258689820000001</v>
      </c>
      <c r="G289">
        <v>75.773978709999994</v>
      </c>
      <c r="H289">
        <v>2</v>
      </c>
      <c r="I289" t="s">
        <v>14</v>
      </c>
      <c r="J289" t="s">
        <v>358</v>
      </c>
      <c r="K289">
        <f>IF(tbl_ChargingStation[[#This Row],[status]]="Operational",1,0)</f>
        <v>1</v>
      </c>
      <c r="L289">
        <f t="shared" si="8"/>
        <v>2</v>
      </c>
      <c r="M289" t="str">
        <f t="shared" si="9"/>
        <v>Kerala</v>
      </c>
    </row>
    <row r="290" spans="1:13">
      <c r="A290">
        <v>313949</v>
      </c>
      <c r="B290" t="s">
        <v>518</v>
      </c>
      <c r="C290" t="s">
        <v>197</v>
      </c>
      <c r="D290" t="s">
        <v>70</v>
      </c>
      <c r="E290" t="s">
        <v>13</v>
      </c>
      <c r="F290">
        <v>11.259029050000001</v>
      </c>
      <c r="G290">
        <v>75.773708389999996</v>
      </c>
      <c r="H290">
        <v>2</v>
      </c>
      <c r="I290" t="s">
        <v>14</v>
      </c>
      <c r="J290" t="s">
        <v>358</v>
      </c>
      <c r="K290">
        <f>IF(tbl_ChargingStation[[#This Row],[status]]="Operational",1,0)</f>
        <v>1</v>
      </c>
      <c r="L290">
        <f t="shared" si="8"/>
        <v>2</v>
      </c>
      <c r="M290" t="str">
        <f t="shared" si="9"/>
        <v>Kerala</v>
      </c>
    </row>
    <row r="291" spans="1:13">
      <c r="A291">
        <v>313945</v>
      </c>
      <c r="B291" t="s">
        <v>523</v>
      </c>
      <c r="C291" t="s">
        <v>524</v>
      </c>
      <c r="D291" t="s">
        <v>70</v>
      </c>
      <c r="E291" t="s">
        <v>13</v>
      </c>
      <c r="F291">
        <v>11.659328260000001</v>
      </c>
      <c r="G291">
        <v>76.207185229999993</v>
      </c>
      <c r="H291">
        <v>2</v>
      </c>
      <c r="I291" t="s">
        <v>14</v>
      </c>
      <c r="J291" t="s">
        <v>358</v>
      </c>
      <c r="K291">
        <f>IF(tbl_ChargingStation[[#This Row],[status]]="Operational",1,0)</f>
        <v>1</v>
      </c>
      <c r="L291">
        <f t="shared" si="8"/>
        <v>2</v>
      </c>
      <c r="M291" t="str">
        <f t="shared" si="9"/>
        <v>Kerala</v>
      </c>
    </row>
    <row r="292" spans="1:13">
      <c r="A292">
        <v>313943</v>
      </c>
      <c r="B292" t="s">
        <v>527</v>
      </c>
      <c r="C292" t="s">
        <v>528</v>
      </c>
      <c r="D292" t="s">
        <v>70</v>
      </c>
      <c r="E292" t="s">
        <v>13</v>
      </c>
      <c r="F292">
        <v>11.65763336</v>
      </c>
      <c r="G292">
        <v>75.960431779999993</v>
      </c>
      <c r="H292">
        <v>2</v>
      </c>
      <c r="I292" t="s">
        <v>14</v>
      </c>
      <c r="J292" t="s">
        <v>358</v>
      </c>
      <c r="K292">
        <f>IF(tbl_ChargingStation[[#This Row],[status]]="Operational",1,0)</f>
        <v>1</v>
      </c>
      <c r="L292">
        <f t="shared" si="8"/>
        <v>2</v>
      </c>
      <c r="M292" t="str">
        <f t="shared" si="9"/>
        <v>Kerala</v>
      </c>
    </row>
    <row r="293" spans="1:13">
      <c r="A293">
        <v>313925</v>
      </c>
      <c r="B293" t="s">
        <v>535</v>
      </c>
      <c r="C293" t="s">
        <v>536</v>
      </c>
      <c r="D293" t="s">
        <v>70</v>
      </c>
      <c r="E293" t="s">
        <v>13</v>
      </c>
      <c r="F293">
        <v>11.832856720000001</v>
      </c>
      <c r="G293">
        <v>75.426441699999998</v>
      </c>
      <c r="H293">
        <v>2</v>
      </c>
      <c r="I293" t="s">
        <v>14</v>
      </c>
      <c r="J293" t="s">
        <v>358</v>
      </c>
      <c r="K293">
        <f>IF(tbl_ChargingStation[[#This Row],[status]]="Operational",1,0)</f>
        <v>1</v>
      </c>
      <c r="L293">
        <f t="shared" si="8"/>
        <v>2</v>
      </c>
      <c r="M293" t="str">
        <f t="shared" si="9"/>
        <v>Kerala</v>
      </c>
    </row>
    <row r="294" spans="1:13">
      <c r="A294">
        <v>313924</v>
      </c>
      <c r="B294" t="s">
        <v>537</v>
      </c>
      <c r="C294" t="s">
        <v>538</v>
      </c>
      <c r="D294" t="s">
        <v>70</v>
      </c>
      <c r="E294" t="s">
        <v>13</v>
      </c>
      <c r="F294">
        <v>11.86083034</v>
      </c>
      <c r="G294">
        <v>75.411867779999994</v>
      </c>
      <c r="H294">
        <v>2</v>
      </c>
      <c r="I294" t="s">
        <v>14</v>
      </c>
      <c r="J294" t="s">
        <v>358</v>
      </c>
      <c r="K294">
        <f>IF(tbl_ChargingStation[[#This Row],[status]]="Operational",1,0)</f>
        <v>1</v>
      </c>
      <c r="L294">
        <f t="shared" si="8"/>
        <v>2</v>
      </c>
      <c r="M294" t="str">
        <f t="shared" si="9"/>
        <v>Kerala</v>
      </c>
    </row>
    <row r="295" spans="1:13">
      <c r="A295">
        <v>313921</v>
      </c>
      <c r="B295" t="s">
        <v>542</v>
      </c>
      <c r="C295" t="s">
        <v>543</v>
      </c>
      <c r="D295" t="s">
        <v>70</v>
      </c>
      <c r="E295" t="s">
        <v>13</v>
      </c>
      <c r="F295">
        <v>12.423383279999999</v>
      </c>
      <c r="G295">
        <v>75.014754800000006</v>
      </c>
      <c r="H295">
        <v>2</v>
      </c>
      <c r="I295" t="s">
        <v>14</v>
      </c>
      <c r="J295" t="s">
        <v>358</v>
      </c>
      <c r="K295">
        <f>IF(tbl_ChargingStation[[#This Row],[status]]="Operational",1,0)</f>
        <v>1</v>
      </c>
      <c r="L295">
        <f t="shared" si="8"/>
        <v>2</v>
      </c>
      <c r="M295" t="str">
        <f t="shared" si="9"/>
        <v>Kerala</v>
      </c>
    </row>
    <row r="296" spans="1:13">
      <c r="A296">
        <v>313913</v>
      </c>
      <c r="B296" t="s">
        <v>553</v>
      </c>
      <c r="C296" t="s">
        <v>554</v>
      </c>
      <c r="D296" t="s">
        <v>70</v>
      </c>
      <c r="E296" t="s">
        <v>13</v>
      </c>
      <c r="F296">
        <v>8.7288458660000003</v>
      </c>
      <c r="G296">
        <v>76.898447509999997</v>
      </c>
      <c r="H296">
        <v>2</v>
      </c>
      <c r="I296" t="s">
        <v>14</v>
      </c>
      <c r="J296" t="s">
        <v>71</v>
      </c>
      <c r="K296">
        <f>IF(tbl_ChargingStation[[#This Row],[status]]="Operational",1,0)</f>
        <v>1</v>
      </c>
      <c r="L296">
        <f t="shared" si="8"/>
        <v>2</v>
      </c>
      <c r="M296" t="str">
        <f t="shared" si="9"/>
        <v>Kerala</v>
      </c>
    </row>
    <row r="297" spans="1:13">
      <c r="A297">
        <v>313911</v>
      </c>
      <c r="B297" t="s">
        <v>556</v>
      </c>
      <c r="C297" t="s">
        <v>557</v>
      </c>
      <c r="D297" t="s">
        <v>70</v>
      </c>
      <c r="E297" t="s">
        <v>13</v>
      </c>
      <c r="F297">
        <v>8.6868080459999995</v>
      </c>
      <c r="G297">
        <v>76.824022330000005</v>
      </c>
      <c r="H297">
        <v>2</v>
      </c>
      <c r="I297" t="s">
        <v>14</v>
      </c>
      <c r="J297" t="s">
        <v>71</v>
      </c>
      <c r="K297">
        <f>IF(tbl_ChargingStation[[#This Row],[status]]="Operational",1,0)</f>
        <v>1</v>
      </c>
      <c r="L297">
        <f t="shared" si="8"/>
        <v>2</v>
      </c>
      <c r="M297" t="str">
        <f t="shared" si="9"/>
        <v>Kerala</v>
      </c>
    </row>
    <row r="298" spans="1:13">
      <c r="A298">
        <v>313908</v>
      </c>
      <c r="B298" t="s">
        <v>561</v>
      </c>
      <c r="C298" t="s">
        <v>562</v>
      </c>
      <c r="D298" t="s">
        <v>70</v>
      </c>
      <c r="E298" t="s">
        <v>13</v>
      </c>
      <c r="F298">
        <v>8.7490860500000007</v>
      </c>
      <c r="G298">
        <v>76.705818590000007</v>
      </c>
      <c r="H298">
        <v>2</v>
      </c>
      <c r="I298" t="s">
        <v>14</v>
      </c>
      <c r="J298" t="s">
        <v>71</v>
      </c>
      <c r="K298">
        <f>IF(tbl_ChargingStation[[#This Row],[status]]="Operational",1,0)</f>
        <v>1</v>
      </c>
      <c r="L298">
        <f t="shared" si="8"/>
        <v>2</v>
      </c>
      <c r="M298" t="str">
        <f t="shared" si="9"/>
        <v>Kerala</v>
      </c>
    </row>
    <row r="299" spans="1:13">
      <c r="A299">
        <v>313907</v>
      </c>
      <c r="B299" t="s">
        <v>563</v>
      </c>
      <c r="C299" t="s">
        <v>564</v>
      </c>
      <c r="D299" t="s">
        <v>70</v>
      </c>
      <c r="E299" t="s">
        <v>13</v>
      </c>
      <c r="F299">
        <v>8.9821433410000004</v>
      </c>
      <c r="G299">
        <v>76.809329660000003</v>
      </c>
      <c r="H299">
        <v>2</v>
      </c>
      <c r="I299" t="s">
        <v>14</v>
      </c>
      <c r="J299" t="s">
        <v>71</v>
      </c>
      <c r="K299">
        <f>IF(tbl_ChargingStation[[#This Row],[status]]="Operational",1,0)</f>
        <v>1</v>
      </c>
      <c r="L299">
        <f t="shared" si="8"/>
        <v>2</v>
      </c>
      <c r="M299" t="str">
        <f t="shared" si="9"/>
        <v>Kerala</v>
      </c>
    </row>
    <row r="300" spans="1:13">
      <c r="A300">
        <v>313906</v>
      </c>
      <c r="B300" t="s">
        <v>565</v>
      </c>
      <c r="C300" t="s">
        <v>566</v>
      </c>
      <c r="D300" t="s">
        <v>70</v>
      </c>
      <c r="E300" t="s">
        <v>13</v>
      </c>
      <c r="F300">
        <v>8.9482466259999995</v>
      </c>
      <c r="G300">
        <v>76.64624714</v>
      </c>
      <c r="H300">
        <v>2</v>
      </c>
      <c r="I300" t="s">
        <v>14</v>
      </c>
      <c r="J300" t="s">
        <v>71</v>
      </c>
      <c r="K300">
        <f>IF(tbl_ChargingStation[[#This Row],[status]]="Operational",1,0)</f>
        <v>1</v>
      </c>
      <c r="L300">
        <f t="shared" si="8"/>
        <v>2</v>
      </c>
      <c r="M300" t="str">
        <f t="shared" si="9"/>
        <v>Kerala</v>
      </c>
    </row>
    <row r="301" spans="1:13">
      <c r="A301">
        <v>313905</v>
      </c>
      <c r="B301" t="s">
        <v>567</v>
      </c>
      <c r="C301" t="s">
        <v>568</v>
      </c>
      <c r="D301" t="s">
        <v>70</v>
      </c>
      <c r="E301" t="s">
        <v>13</v>
      </c>
      <c r="F301">
        <v>9.0709916459999995</v>
      </c>
      <c r="G301">
        <v>76.856311230000003</v>
      </c>
      <c r="H301">
        <v>2</v>
      </c>
      <c r="I301" t="s">
        <v>14</v>
      </c>
      <c r="J301" t="s">
        <v>71</v>
      </c>
      <c r="K301">
        <f>IF(tbl_ChargingStation[[#This Row],[status]]="Operational",1,0)</f>
        <v>1</v>
      </c>
      <c r="L301">
        <f t="shared" si="8"/>
        <v>2</v>
      </c>
      <c r="M301" t="str">
        <f t="shared" si="9"/>
        <v>Kerala</v>
      </c>
    </row>
    <row r="302" spans="1:13">
      <c r="A302">
        <v>313904</v>
      </c>
      <c r="B302" t="s">
        <v>569</v>
      </c>
      <c r="C302" t="s">
        <v>570</v>
      </c>
      <c r="D302" t="s">
        <v>70</v>
      </c>
      <c r="E302" t="s">
        <v>13</v>
      </c>
      <c r="F302">
        <v>9.0513674030000004</v>
      </c>
      <c r="G302">
        <v>76.703246960000001</v>
      </c>
      <c r="H302">
        <v>2</v>
      </c>
      <c r="I302" t="s">
        <v>14</v>
      </c>
      <c r="J302" t="s">
        <v>71</v>
      </c>
      <c r="K302">
        <f>IF(tbl_ChargingStation[[#This Row],[status]]="Operational",1,0)</f>
        <v>1</v>
      </c>
      <c r="L302">
        <f t="shared" si="8"/>
        <v>2</v>
      </c>
      <c r="M302" t="str">
        <f t="shared" si="9"/>
        <v>Kerala</v>
      </c>
    </row>
    <row r="303" spans="1:13">
      <c r="A303">
        <v>313899</v>
      </c>
      <c r="B303" t="s">
        <v>576</v>
      </c>
      <c r="C303" t="s">
        <v>577</v>
      </c>
      <c r="D303" t="s">
        <v>70</v>
      </c>
      <c r="E303" t="s">
        <v>13</v>
      </c>
      <c r="F303">
        <v>9.145794596</v>
      </c>
      <c r="G303">
        <v>76.45936322</v>
      </c>
      <c r="H303">
        <v>2</v>
      </c>
      <c r="I303" t="s">
        <v>14</v>
      </c>
      <c r="J303" t="s">
        <v>71</v>
      </c>
      <c r="K303">
        <f>IF(tbl_ChargingStation[[#This Row],[status]]="Operational",1,0)</f>
        <v>1</v>
      </c>
      <c r="L303">
        <f t="shared" si="8"/>
        <v>2</v>
      </c>
      <c r="M303" t="str">
        <f t="shared" si="9"/>
        <v>Kerala</v>
      </c>
    </row>
    <row r="304" spans="1:13">
      <c r="A304">
        <v>313896</v>
      </c>
      <c r="B304" t="s">
        <v>580</v>
      </c>
      <c r="C304" t="s">
        <v>581</v>
      </c>
      <c r="D304" t="s">
        <v>70</v>
      </c>
      <c r="E304" t="s">
        <v>13</v>
      </c>
      <c r="F304">
        <v>9.2890008339999994</v>
      </c>
      <c r="G304">
        <v>76.456535689999995</v>
      </c>
      <c r="H304">
        <v>2</v>
      </c>
      <c r="I304" t="s">
        <v>14</v>
      </c>
      <c r="J304" t="s">
        <v>71</v>
      </c>
      <c r="K304">
        <f>IF(tbl_ChargingStation[[#This Row],[status]]="Operational",1,0)</f>
        <v>1</v>
      </c>
      <c r="L304">
        <f t="shared" si="8"/>
        <v>2</v>
      </c>
      <c r="M304" t="str">
        <f t="shared" si="9"/>
        <v>Kerala</v>
      </c>
    </row>
    <row r="305" spans="1:13">
      <c r="A305">
        <v>313895</v>
      </c>
      <c r="B305" t="s">
        <v>582</v>
      </c>
      <c r="C305" t="s">
        <v>583</v>
      </c>
      <c r="D305" t="s">
        <v>70</v>
      </c>
      <c r="E305" t="s">
        <v>13</v>
      </c>
      <c r="F305">
        <v>9.2469354020000001</v>
      </c>
      <c r="G305">
        <v>76.757307789999999</v>
      </c>
      <c r="H305">
        <v>2</v>
      </c>
      <c r="I305" t="s">
        <v>14</v>
      </c>
      <c r="J305" t="s">
        <v>71</v>
      </c>
      <c r="K305">
        <f>IF(tbl_ChargingStation[[#This Row],[status]]="Operational",1,0)</f>
        <v>1</v>
      </c>
      <c r="L305">
        <f t="shared" si="8"/>
        <v>2</v>
      </c>
      <c r="M305" t="str">
        <f t="shared" si="9"/>
        <v>Kerala</v>
      </c>
    </row>
    <row r="306" spans="1:13">
      <c r="A306">
        <v>313892</v>
      </c>
      <c r="B306" t="s">
        <v>588</v>
      </c>
      <c r="C306" t="s">
        <v>587</v>
      </c>
      <c r="D306" t="s">
        <v>70</v>
      </c>
      <c r="E306" t="s">
        <v>13</v>
      </c>
      <c r="F306">
        <v>9.3421447230000005</v>
      </c>
      <c r="G306">
        <v>76.598487840000004</v>
      </c>
      <c r="H306">
        <v>2</v>
      </c>
      <c r="I306" t="s">
        <v>14</v>
      </c>
      <c r="J306" t="s">
        <v>71</v>
      </c>
      <c r="K306">
        <f>IF(tbl_ChargingStation[[#This Row],[status]]="Operational",1,0)</f>
        <v>1</v>
      </c>
      <c r="L306">
        <f t="shared" si="8"/>
        <v>2</v>
      </c>
      <c r="M306" t="str">
        <f t="shared" si="9"/>
        <v>Kerala</v>
      </c>
    </row>
    <row r="307" spans="1:13">
      <c r="A307">
        <v>313891</v>
      </c>
      <c r="B307" t="s">
        <v>589</v>
      </c>
      <c r="C307" t="s">
        <v>316</v>
      </c>
      <c r="D307" t="s">
        <v>70</v>
      </c>
      <c r="E307" t="s">
        <v>13</v>
      </c>
      <c r="F307">
        <v>9.4598602179999993</v>
      </c>
      <c r="G307">
        <v>76.555183589999999</v>
      </c>
      <c r="H307">
        <v>2</v>
      </c>
      <c r="I307" t="s">
        <v>14</v>
      </c>
      <c r="J307" t="s">
        <v>71</v>
      </c>
      <c r="K307">
        <f>IF(tbl_ChargingStation[[#This Row],[status]]="Operational",1,0)</f>
        <v>1</v>
      </c>
      <c r="L307">
        <f t="shared" si="8"/>
        <v>2</v>
      </c>
      <c r="M307" t="str">
        <f t="shared" si="9"/>
        <v>Kerala</v>
      </c>
    </row>
    <row r="308" spans="1:13">
      <c r="A308">
        <v>313888</v>
      </c>
      <c r="B308" t="s">
        <v>593</v>
      </c>
      <c r="C308" t="s">
        <v>304</v>
      </c>
      <c r="D308" t="s">
        <v>70</v>
      </c>
      <c r="E308" t="s">
        <v>13</v>
      </c>
      <c r="F308">
        <v>9.6653988200000001</v>
      </c>
      <c r="G308">
        <v>77.160846950000007</v>
      </c>
      <c r="H308">
        <v>2</v>
      </c>
      <c r="I308" t="s">
        <v>14</v>
      </c>
      <c r="J308" t="s">
        <v>71</v>
      </c>
      <c r="K308">
        <f>IF(tbl_ChargingStation[[#This Row],[status]]="Operational",1,0)</f>
        <v>1</v>
      </c>
      <c r="L308">
        <f t="shared" si="8"/>
        <v>2</v>
      </c>
      <c r="M308" t="str">
        <f t="shared" si="9"/>
        <v>Kerala</v>
      </c>
    </row>
    <row r="309" spans="1:13">
      <c r="A309">
        <v>313887</v>
      </c>
      <c r="B309" t="s">
        <v>594</v>
      </c>
      <c r="C309" t="s">
        <v>595</v>
      </c>
      <c r="D309" t="s">
        <v>70</v>
      </c>
      <c r="E309" t="s">
        <v>13</v>
      </c>
      <c r="F309">
        <v>9.6144458349999997</v>
      </c>
      <c r="G309">
        <v>77.153909909999996</v>
      </c>
      <c r="H309">
        <v>2</v>
      </c>
      <c r="I309" t="s">
        <v>14</v>
      </c>
      <c r="J309" t="s">
        <v>71</v>
      </c>
      <c r="K309">
        <f>IF(tbl_ChargingStation[[#This Row],[status]]="Operational",1,0)</f>
        <v>1</v>
      </c>
      <c r="L309">
        <f t="shared" si="8"/>
        <v>2</v>
      </c>
      <c r="M309" t="str">
        <f t="shared" si="9"/>
        <v>Kerala</v>
      </c>
    </row>
    <row r="310" spans="1:13">
      <c r="A310">
        <v>313884</v>
      </c>
      <c r="B310" t="s">
        <v>600</v>
      </c>
      <c r="C310" t="s">
        <v>601</v>
      </c>
      <c r="D310" t="s">
        <v>70</v>
      </c>
      <c r="E310" t="s">
        <v>13</v>
      </c>
      <c r="F310">
        <v>9.566378512</v>
      </c>
      <c r="G310">
        <v>76.741607509999994</v>
      </c>
      <c r="H310">
        <v>2</v>
      </c>
      <c r="I310" t="s">
        <v>14</v>
      </c>
      <c r="J310" t="s">
        <v>71</v>
      </c>
      <c r="K310">
        <f>IF(tbl_ChargingStation[[#This Row],[status]]="Operational",1,0)</f>
        <v>1</v>
      </c>
      <c r="L310">
        <f t="shared" si="8"/>
        <v>2</v>
      </c>
      <c r="M310" t="str">
        <f t="shared" si="9"/>
        <v>Kerala</v>
      </c>
    </row>
    <row r="311" spans="1:13">
      <c r="A311">
        <v>313883</v>
      </c>
      <c r="B311" t="s">
        <v>602</v>
      </c>
      <c r="C311" t="s">
        <v>603</v>
      </c>
      <c r="D311" t="s">
        <v>70</v>
      </c>
      <c r="E311" t="s">
        <v>13</v>
      </c>
      <c r="F311">
        <v>9.7539997219999997</v>
      </c>
      <c r="G311">
        <v>76.701278959999996</v>
      </c>
      <c r="H311">
        <v>2</v>
      </c>
      <c r="I311" t="s">
        <v>14</v>
      </c>
      <c r="J311" t="s">
        <v>71</v>
      </c>
      <c r="K311">
        <f>IF(tbl_ChargingStation[[#This Row],[status]]="Operational",1,0)</f>
        <v>1</v>
      </c>
      <c r="L311">
        <f t="shared" si="8"/>
        <v>2</v>
      </c>
      <c r="M311" t="str">
        <f t="shared" si="9"/>
        <v>Kerala</v>
      </c>
    </row>
    <row r="312" spans="1:13">
      <c r="A312">
        <v>313880</v>
      </c>
      <c r="B312" t="s">
        <v>607</v>
      </c>
      <c r="C312" t="s">
        <v>608</v>
      </c>
      <c r="D312" t="s">
        <v>70</v>
      </c>
      <c r="E312" t="s">
        <v>13</v>
      </c>
      <c r="F312">
        <v>9.7619238409999998</v>
      </c>
      <c r="G312">
        <v>76.564722529999997</v>
      </c>
      <c r="H312">
        <v>2</v>
      </c>
      <c r="I312" t="s">
        <v>14</v>
      </c>
      <c r="J312" t="s">
        <v>71</v>
      </c>
      <c r="K312">
        <f>IF(tbl_ChargingStation[[#This Row],[status]]="Operational",1,0)</f>
        <v>1</v>
      </c>
      <c r="L312">
        <f t="shared" si="8"/>
        <v>2</v>
      </c>
      <c r="M312" t="str">
        <f t="shared" si="9"/>
        <v>Kerala</v>
      </c>
    </row>
    <row r="313" spans="1:13">
      <c r="A313">
        <v>313878</v>
      </c>
      <c r="B313" t="s">
        <v>611</v>
      </c>
      <c r="C313" t="s">
        <v>612</v>
      </c>
      <c r="D313" t="s">
        <v>70</v>
      </c>
      <c r="E313" t="s">
        <v>13</v>
      </c>
      <c r="F313">
        <v>9.6833368800000006</v>
      </c>
      <c r="G313">
        <v>76.505593809999993</v>
      </c>
      <c r="H313">
        <v>2</v>
      </c>
      <c r="I313" t="s">
        <v>14</v>
      </c>
      <c r="J313" t="s">
        <v>71</v>
      </c>
      <c r="K313">
        <f>IF(tbl_ChargingStation[[#This Row],[status]]="Operational",1,0)</f>
        <v>1</v>
      </c>
      <c r="L313">
        <f t="shared" si="8"/>
        <v>2</v>
      </c>
      <c r="M313" t="str">
        <f t="shared" si="9"/>
        <v>Kerala</v>
      </c>
    </row>
    <row r="314" spans="1:13">
      <c r="A314">
        <v>313876</v>
      </c>
      <c r="B314" t="s">
        <v>615</v>
      </c>
      <c r="C314" t="s">
        <v>614</v>
      </c>
      <c r="D314" t="s">
        <v>70</v>
      </c>
      <c r="E314" t="s">
        <v>13</v>
      </c>
      <c r="F314">
        <v>9.5782587679999995</v>
      </c>
      <c r="G314">
        <v>76.519470560000002</v>
      </c>
      <c r="H314">
        <v>2</v>
      </c>
      <c r="I314" t="s">
        <v>14</v>
      </c>
      <c r="J314" t="s">
        <v>71</v>
      </c>
      <c r="K314">
        <f>IF(tbl_ChargingStation[[#This Row],[status]]="Operational",1,0)</f>
        <v>1</v>
      </c>
      <c r="L314">
        <f t="shared" si="8"/>
        <v>2</v>
      </c>
      <c r="M314" t="str">
        <f t="shared" si="9"/>
        <v>Kerala</v>
      </c>
    </row>
    <row r="315" spans="1:13">
      <c r="A315">
        <v>313868</v>
      </c>
      <c r="B315" t="s">
        <v>626</v>
      </c>
      <c r="C315" t="s">
        <v>627</v>
      </c>
      <c r="D315" t="s">
        <v>70</v>
      </c>
      <c r="E315" t="s">
        <v>13</v>
      </c>
      <c r="F315">
        <v>9.9477583599999999</v>
      </c>
      <c r="G315">
        <v>76.31854611</v>
      </c>
      <c r="H315">
        <v>2</v>
      </c>
      <c r="I315" t="s">
        <v>14</v>
      </c>
      <c r="J315" t="s">
        <v>71</v>
      </c>
      <c r="K315">
        <f>IF(tbl_ChargingStation[[#This Row],[status]]="Operational",1,0)</f>
        <v>1</v>
      </c>
      <c r="L315">
        <f t="shared" si="8"/>
        <v>2</v>
      </c>
      <c r="M315" t="str">
        <f t="shared" si="9"/>
        <v>Kerala</v>
      </c>
    </row>
    <row r="316" spans="1:13">
      <c r="A316">
        <v>313866</v>
      </c>
      <c r="B316" t="s">
        <v>630</v>
      </c>
      <c r="C316" t="s">
        <v>631</v>
      </c>
      <c r="D316" t="s">
        <v>70</v>
      </c>
      <c r="E316" t="s">
        <v>13</v>
      </c>
      <c r="F316">
        <v>9.9651944920000002</v>
      </c>
      <c r="G316">
        <v>76.296623210000007</v>
      </c>
      <c r="H316">
        <v>2</v>
      </c>
      <c r="I316" t="s">
        <v>14</v>
      </c>
      <c r="J316" t="s">
        <v>71</v>
      </c>
      <c r="K316">
        <f>IF(tbl_ChargingStation[[#This Row],[status]]="Operational",1,0)</f>
        <v>1</v>
      </c>
      <c r="L316">
        <f t="shared" si="8"/>
        <v>2</v>
      </c>
      <c r="M316" t="str">
        <f t="shared" si="9"/>
        <v>Kerala</v>
      </c>
    </row>
    <row r="317" spans="1:13">
      <c r="A317">
        <v>313865</v>
      </c>
      <c r="B317" t="s">
        <v>632</v>
      </c>
      <c r="C317" t="s">
        <v>633</v>
      </c>
      <c r="D317" t="s">
        <v>70</v>
      </c>
      <c r="E317" t="s">
        <v>13</v>
      </c>
      <c r="F317">
        <v>9.9959595790000009</v>
      </c>
      <c r="G317">
        <v>76.314102180000006</v>
      </c>
      <c r="H317">
        <v>2</v>
      </c>
      <c r="I317" t="s">
        <v>14</v>
      </c>
      <c r="J317" t="s">
        <v>71</v>
      </c>
      <c r="K317">
        <f>IF(tbl_ChargingStation[[#This Row],[status]]="Operational",1,0)</f>
        <v>1</v>
      </c>
      <c r="L317">
        <f t="shared" si="8"/>
        <v>2</v>
      </c>
      <c r="M317" t="str">
        <f t="shared" si="9"/>
        <v>Kerala</v>
      </c>
    </row>
    <row r="318" spans="1:13">
      <c r="A318">
        <v>313864</v>
      </c>
      <c r="B318" t="s">
        <v>634</v>
      </c>
      <c r="C318" t="s">
        <v>633</v>
      </c>
      <c r="D318" t="s">
        <v>70</v>
      </c>
      <c r="E318" t="s">
        <v>13</v>
      </c>
      <c r="F318">
        <v>9.9984993339999999</v>
      </c>
      <c r="G318">
        <v>76.31386096</v>
      </c>
      <c r="H318">
        <v>2</v>
      </c>
      <c r="I318" t="s">
        <v>14</v>
      </c>
      <c r="J318" t="s">
        <v>71</v>
      </c>
      <c r="K318">
        <f>IF(tbl_ChargingStation[[#This Row],[status]]="Operational",1,0)</f>
        <v>1</v>
      </c>
      <c r="L318">
        <f t="shared" si="8"/>
        <v>2</v>
      </c>
      <c r="M318" t="str">
        <f t="shared" si="9"/>
        <v>Kerala</v>
      </c>
    </row>
    <row r="319" spans="1:13">
      <c r="A319">
        <v>313863</v>
      </c>
      <c r="B319" t="s">
        <v>635</v>
      </c>
      <c r="C319" t="s">
        <v>636</v>
      </c>
      <c r="D319" t="s">
        <v>70</v>
      </c>
      <c r="E319" t="s">
        <v>13</v>
      </c>
      <c r="F319">
        <v>10.01465881</v>
      </c>
      <c r="G319">
        <v>76.342400600000005</v>
      </c>
      <c r="H319">
        <v>2</v>
      </c>
      <c r="I319" t="s">
        <v>14</v>
      </c>
      <c r="J319" t="s">
        <v>71</v>
      </c>
      <c r="K319">
        <f>IF(tbl_ChargingStation[[#This Row],[status]]="Operational",1,0)</f>
        <v>1</v>
      </c>
      <c r="L319">
        <f t="shared" si="8"/>
        <v>2</v>
      </c>
      <c r="M319" t="str">
        <f t="shared" si="9"/>
        <v>Kerala</v>
      </c>
    </row>
    <row r="320" spans="1:13">
      <c r="A320">
        <v>313860</v>
      </c>
      <c r="B320" t="s">
        <v>641</v>
      </c>
      <c r="C320" t="s">
        <v>640</v>
      </c>
      <c r="D320" t="s">
        <v>70</v>
      </c>
      <c r="E320" t="s">
        <v>13</v>
      </c>
      <c r="F320">
        <v>10.014373320000001</v>
      </c>
      <c r="G320">
        <v>76.312532739999995</v>
      </c>
      <c r="H320">
        <v>2</v>
      </c>
      <c r="I320" t="s">
        <v>14</v>
      </c>
      <c r="J320" t="s">
        <v>71</v>
      </c>
      <c r="K320">
        <f>IF(tbl_ChargingStation[[#This Row],[status]]="Operational",1,0)</f>
        <v>1</v>
      </c>
      <c r="L320">
        <f t="shared" si="8"/>
        <v>2</v>
      </c>
      <c r="M320" t="str">
        <f t="shared" si="9"/>
        <v>Kerala</v>
      </c>
    </row>
    <row r="321" spans="1:13">
      <c r="A321">
        <v>313854</v>
      </c>
      <c r="B321" t="s">
        <v>648</v>
      </c>
      <c r="C321" t="s">
        <v>649</v>
      </c>
      <c r="D321" t="s">
        <v>70</v>
      </c>
      <c r="E321" t="s">
        <v>13</v>
      </c>
      <c r="F321">
        <v>10.14144398</v>
      </c>
      <c r="G321">
        <v>76.352933829999998</v>
      </c>
      <c r="H321">
        <v>2</v>
      </c>
      <c r="I321" t="s">
        <v>14</v>
      </c>
      <c r="J321" t="s">
        <v>71</v>
      </c>
      <c r="K321">
        <f>IF(tbl_ChargingStation[[#This Row],[status]]="Operational",1,0)</f>
        <v>1</v>
      </c>
      <c r="L321">
        <f t="shared" si="8"/>
        <v>2</v>
      </c>
      <c r="M321" t="str">
        <f t="shared" si="9"/>
        <v>Kerala</v>
      </c>
    </row>
    <row r="322" spans="1:13">
      <c r="A322">
        <v>313852</v>
      </c>
      <c r="B322" t="s">
        <v>651</v>
      </c>
      <c r="C322" t="s">
        <v>483</v>
      </c>
      <c r="D322" t="s">
        <v>70</v>
      </c>
      <c r="E322" t="s">
        <v>13</v>
      </c>
      <c r="F322">
        <v>10.20178009</v>
      </c>
      <c r="G322">
        <v>76.409661619999994</v>
      </c>
      <c r="H322">
        <v>2</v>
      </c>
      <c r="I322" t="s">
        <v>14</v>
      </c>
      <c r="J322" t="s">
        <v>71</v>
      </c>
      <c r="K322">
        <f>IF(tbl_ChargingStation[[#This Row],[status]]="Operational",1,0)</f>
        <v>1</v>
      </c>
      <c r="L322">
        <f t="shared" ref="L322:L385" si="10">H322*K322</f>
        <v>2</v>
      </c>
      <c r="M322" t="str">
        <f t="shared" ref="M322:M385" si="11">IF(D322="GJ","Gujarat",IF(OR(D322="Keral",D322="Keraka",D322="Lerala"),"Kerala",IF(D322="MH","Maharashtra",IF(D322="MP","Madhya Pradesh",IF(D322="RJ","Rajasthan",IF(D322="TAMILNADU","Tamil Nadu",IF(D322="Uttarakhnad","Uttarakhand",D322)))))))</f>
        <v>Kerala</v>
      </c>
    </row>
    <row r="323" spans="1:13">
      <c r="A323">
        <v>313849</v>
      </c>
      <c r="B323" t="s">
        <v>653</v>
      </c>
      <c r="C323" t="s">
        <v>654</v>
      </c>
      <c r="D323" t="s">
        <v>70</v>
      </c>
      <c r="E323" t="s">
        <v>13</v>
      </c>
      <c r="F323">
        <v>10.27724459</v>
      </c>
      <c r="G323">
        <v>76.344528080000003</v>
      </c>
      <c r="H323">
        <v>2</v>
      </c>
      <c r="I323" t="s">
        <v>14</v>
      </c>
      <c r="J323" t="s">
        <v>71</v>
      </c>
      <c r="K323">
        <f>IF(tbl_ChargingStation[[#This Row],[status]]="Operational",1,0)</f>
        <v>1</v>
      </c>
      <c r="L323">
        <f t="shared" si="10"/>
        <v>2</v>
      </c>
      <c r="M323" t="str">
        <f t="shared" si="11"/>
        <v>Kerala</v>
      </c>
    </row>
    <row r="324" spans="1:13">
      <c r="A324">
        <v>313847</v>
      </c>
      <c r="B324" t="s">
        <v>657</v>
      </c>
      <c r="C324" t="s">
        <v>105</v>
      </c>
      <c r="D324" t="s">
        <v>70</v>
      </c>
      <c r="E324" t="s">
        <v>13</v>
      </c>
      <c r="F324">
        <v>10.211292050000001</v>
      </c>
      <c r="G324">
        <v>76.198988670000006</v>
      </c>
      <c r="H324">
        <v>2</v>
      </c>
      <c r="I324" t="s">
        <v>14</v>
      </c>
      <c r="J324" t="s">
        <v>71</v>
      </c>
      <c r="K324">
        <f>IF(tbl_ChargingStation[[#This Row],[status]]="Operational",1,0)</f>
        <v>1</v>
      </c>
      <c r="L324">
        <f t="shared" si="10"/>
        <v>2</v>
      </c>
      <c r="M324" t="str">
        <f t="shared" si="11"/>
        <v>Kerala</v>
      </c>
    </row>
    <row r="325" spans="1:13">
      <c r="A325">
        <v>313836</v>
      </c>
      <c r="B325" t="s">
        <v>664</v>
      </c>
      <c r="C325" t="s">
        <v>665</v>
      </c>
      <c r="D325" t="s">
        <v>70</v>
      </c>
      <c r="E325" t="s">
        <v>13</v>
      </c>
      <c r="F325">
        <v>10.4872912</v>
      </c>
      <c r="G325">
        <v>76.070836119999996</v>
      </c>
      <c r="H325">
        <v>2</v>
      </c>
      <c r="I325" t="s">
        <v>14</v>
      </c>
      <c r="J325" t="s">
        <v>71</v>
      </c>
      <c r="K325">
        <f>IF(tbl_ChargingStation[[#This Row],[status]]="Operational",1,0)</f>
        <v>1</v>
      </c>
      <c r="L325">
        <f t="shared" si="10"/>
        <v>2</v>
      </c>
      <c r="M325" t="str">
        <f t="shared" si="11"/>
        <v>Kerala</v>
      </c>
    </row>
    <row r="326" spans="1:13">
      <c r="A326">
        <v>313835</v>
      </c>
      <c r="B326" t="s">
        <v>666</v>
      </c>
      <c r="C326" t="s">
        <v>667</v>
      </c>
      <c r="D326" t="s">
        <v>70</v>
      </c>
      <c r="E326" t="s">
        <v>13</v>
      </c>
      <c r="F326">
        <v>10.494542470000001</v>
      </c>
      <c r="G326">
        <v>76.065847439999999</v>
      </c>
      <c r="H326">
        <v>2</v>
      </c>
      <c r="I326" t="s">
        <v>14</v>
      </c>
      <c r="J326" t="s">
        <v>71</v>
      </c>
      <c r="K326">
        <f>IF(tbl_ChargingStation[[#This Row],[status]]="Operational",1,0)</f>
        <v>1</v>
      </c>
      <c r="L326">
        <f t="shared" si="10"/>
        <v>2</v>
      </c>
      <c r="M326" t="str">
        <f t="shared" si="11"/>
        <v>Kerala</v>
      </c>
    </row>
    <row r="327" spans="1:13">
      <c r="A327">
        <v>313818</v>
      </c>
      <c r="B327" t="s">
        <v>670</v>
      </c>
      <c r="C327" t="s">
        <v>671</v>
      </c>
      <c r="D327" t="s">
        <v>70</v>
      </c>
      <c r="E327" t="s">
        <v>13</v>
      </c>
      <c r="F327">
        <v>10.79730859</v>
      </c>
      <c r="G327">
        <v>76.827540810000002</v>
      </c>
      <c r="H327">
        <v>2</v>
      </c>
      <c r="I327" t="s">
        <v>14</v>
      </c>
      <c r="J327" t="s">
        <v>71</v>
      </c>
      <c r="K327">
        <f>IF(tbl_ChargingStation[[#This Row],[status]]="Operational",1,0)</f>
        <v>1</v>
      </c>
      <c r="L327">
        <f t="shared" si="10"/>
        <v>2</v>
      </c>
      <c r="M327" t="str">
        <f t="shared" si="11"/>
        <v>Kerala</v>
      </c>
    </row>
    <row r="328" spans="1:13">
      <c r="A328">
        <v>313817</v>
      </c>
      <c r="B328" t="s">
        <v>672</v>
      </c>
      <c r="C328" t="s">
        <v>671</v>
      </c>
      <c r="D328" t="s">
        <v>70</v>
      </c>
      <c r="E328" t="s">
        <v>13</v>
      </c>
      <c r="F328">
        <v>10.79348727</v>
      </c>
      <c r="G328">
        <v>76.82652951</v>
      </c>
      <c r="H328">
        <v>2</v>
      </c>
      <c r="I328" t="s">
        <v>14</v>
      </c>
      <c r="J328" t="s">
        <v>71</v>
      </c>
      <c r="K328">
        <f>IF(tbl_ChargingStation[[#This Row],[status]]="Operational",1,0)</f>
        <v>1</v>
      </c>
      <c r="L328">
        <f t="shared" si="10"/>
        <v>2</v>
      </c>
      <c r="M328" t="str">
        <f t="shared" si="11"/>
        <v>Kerala</v>
      </c>
    </row>
    <row r="329" spans="1:13">
      <c r="A329">
        <v>313816</v>
      </c>
      <c r="B329" t="s">
        <v>673</v>
      </c>
      <c r="C329" t="s">
        <v>671</v>
      </c>
      <c r="D329" t="s">
        <v>70</v>
      </c>
      <c r="E329" t="s">
        <v>13</v>
      </c>
      <c r="F329">
        <v>10.792032259999999</v>
      </c>
      <c r="G329">
        <v>76.828347120000004</v>
      </c>
      <c r="H329">
        <v>2</v>
      </c>
      <c r="I329" t="s">
        <v>14</v>
      </c>
      <c r="J329" t="s">
        <v>71</v>
      </c>
      <c r="K329">
        <f>IF(tbl_ChargingStation[[#This Row],[status]]="Operational",1,0)</f>
        <v>1</v>
      </c>
      <c r="L329">
        <f t="shared" si="10"/>
        <v>2</v>
      </c>
      <c r="M329" t="str">
        <f t="shared" si="11"/>
        <v>Kerala</v>
      </c>
    </row>
    <row r="330" spans="1:13">
      <c r="A330">
        <v>313810</v>
      </c>
      <c r="B330" t="s">
        <v>681</v>
      </c>
      <c r="C330" t="s">
        <v>682</v>
      </c>
      <c r="D330" t="s">
        <v>70</v>
      </c>
      <c r="E330" t="s">
        <v>13</v>
      </c>
      <c r="F330">
        <v>10.710021709999999</v>
      </c>
      <c r="G330">
        <v>76.428792939999994</v>
      </c>
      <c r="H330">
        <v>2</v>
      </c>
      <c r="I330" t="s">
        <v>14</v>
      </c>
      <c r="J330" t="s">
        <v>71</v>
      </c>
      <c r="K330">
        <f>IF(tbl_ChargingStation[[#This Row],[status]]="Operational",1,0)</f>
        <v>1</v>
      </c>
      <c r="L330">
        <f t="shared" si="10"/>
        <v>2</v>
      </c>
      <c r="M330" t="str">
        <f t="shared" si="11"/>
        <v>Kerala</v>
      </c>
    </row>
    <row r="331" spans="1:13">
      <c r="A331">
        <v>313789</v>
      </c>
      <c r="B331" t="s">
        <v>694</v>
      </c>
      <c r="C331" t="s">
        <v>259</v>
      </c>
      <c r="D331" t="s">
        <v>70</v>
      </c>
      <c r="E331" t="s">
        <v>13</v>
      </c>
      <c r="F331">
        <v>10.965296779999999</v>
      </c>
      <c r="G331">
        <v>76.28389833</v>
      </c>
      <c r="H331">
        <v>2</v>
      </c>
      <c r="I331" t="s">
        <v>14</v>
      </c>
      <c r="J331" t="s">
        <v>71</v>
      </c>
      <c r="K331">
        <f>IF(tbl_ChargingStation[[#This Row],[status]]="Operational",1,0)</f>
        <v>1</v>
      </c>
      <c r="L331">
        <f t="shared" si="10"/>
        <v>2</v>
      </c>
      <c r="M331" t="str">
        <f t="shared" si="11"/>
        <v>Kerala</v>
      </c>
    </row>
    <row r="332" spans="1:13">
      <c r="A332">
        <v>313787</v>
      </c>
      <c r="B332" t="s">
        <v>696</v>
      </c>
      <c r="C332" t="s">
        <v>697</v>
      </c>
      <c r="D332" t="s">
        <v>70</v>
      </c>
      <c r="E332" t="s">
        <v>13</v>
      </c>
      <c r="F332">
        <v>10.73956943</v>
      </c>
      <c r="G332">
        <v>76.029272509999998</v>
      </c>
      <c r="H332">
        <v>2</v>
      </c>
      <c r="I332" t="s">
        <v>14</v>
      </c>
      <c r="J332" t="s">
        <v>71</v>
      </c>
      <c r="K332">
        <f>IF(tbl_ChargingStation[[#This Row],[status]]="Operational",1,0)</f>
        <v>1</v>
      </c>
      <c r="L332">
        <f t="shared" si="10"/>
        <v>2</v>
      </c>
      <c r="M332" t="str">
        <f t="shared" si="11"/>
        <v>Kerala</v>
      </c>
    </row>
    <row r="333" spans="1:13">
      <c r="A333">
        <v>313774</v>
      </c>
      <c r="B333" t="s">
        <v>717</v>
      </c>
      <c r="C333" t="s">
        <v>718</v>
      </c>
      <c r="D333" t="s">
        <v>70</v>
      </c>
      <c r="E333" t="s">
        <v>13</v>
      </c>
      <c r="F333">
        <v>11.31972723</v>
      </c>
      <c r="G333">
        <v>75.995517109999994</v>
      </c>
      <c r="H333">
        <v>2</v>
      </c>
      <c r="I333" t="s">
        <v>14</v>
      </c>
      <c r="J333" t="s">
        <v>71</v>
      </c>
      <c r="K333">
        <f>IF(tbl_ChargingStation[[#This Row],[status]]="Operational",1,0)</f>
        <v>1</v>
      </c>
      <c r="L333">
        <f t="shared" si="10"/>
        <v>2</v>
      </c>
      <c r="M333" t="str">
        <f t="shared" si="11"/>
        <v>Kerala</v>
      </c>
    </row>
    <row r="334" spans="1:13">
      <c r="A334">
        <v>313762</v>
      </c>
      <c r="B334" t="s">
        <v>722</v>
      </c>
      <c r="C334" t="s">
        <v>197</v>
      </c>
      <c r="D334" t="s">
        <v>70</v>
      </c>
      <c r="E334" t="s">
        <v>13</v>
      </c>
      <c r="F334">
        <v>11.257861800000001</v>
      </c>
      <c r="G334">
        <v>75.780230599999996</v>
      </c>
      <c r="H334">
        <v>2</v>
      </c>
      <c r="I334" t="s">
        <v>14</v>
      </c>
      <c r="J334" t="s">
        <v>71</v>
      </c>
      <c r="K334">
        <f>IF(tbl_ChargingStation[[#This Row],[status]]="Operational",1,0)</f>
        <v>1</v>
      </c>
      <c r="L334">
        <f t="shared" si="10"/>
        <v>2</v>
      </c>
      <c r="M334" t="str">
        <f t="shared" si="11"/>
        <v>Kerala</v>
      </c>
    </row>
    <row r="335" spans="1:13">
      <c r="A335">
        <v>313758</v>
      </c>
      <c r="B335" t="s">
        <v>728</v>
      </c>
      <c r="C335" t="s">
        <v>538</v>
      </c>
      <c r="D335" t="s">
        <v>70</v>
      </c>
      <c r="E335" t="s">
        <v>13</v>
      </c>
      <c r="F335">
        <v>11.88020075</v>
      </c>
      <c r="G335">
        <v>75.374664789999997</v>
      </c>
      <c r="H335">
        <v>2</v>
      </c>
      <c r="I335" t="s">
        <v>14</v>
      </c>
      <c r="J335" t="s">
        <v>71</v>
      </c>
      <c r="K335">
        <f>IF(tbl_ChargingStation[[#This Row],[status]]="Operational",1,0)</f>
        <v>1</v>
      </c>
      <c r="L335">
        <f t="shared" si="10"/>
        <v>2</v>
      </c>
      <c r="M335" t="str">
        <f t="shared" si="11"/>
        <v>Kerala</v>
      </c>
    </row>
    <row r="336" spans="1:13">
      <c r="A336">
        <v>313757</v>
      </c>
      <c r="B336" t="s">
        <v>729</v>
      </c>
      <c r="C336" t="s">
        <v>541</v>
      </c>
      <c r="D336" t="s">
        <v>70</v>
      </c>
      <c r="E336" t="s">
        <v>13</v>
      </c>
      <c r="F336">
        <v>12.08863773</v>
      </c>
      <c r="G336">
        <v>75.252645849999993</v>
      </c>
      <c r="H336">
        <v>2</v>
      </c>
      <c r="I336" t="s">
        <v>14</v>
      </c>
      <c r="J336" t="s">
        <v>71</v>
      </c>
      <c r="K336">
        <f>IF(tbl_ChargingStation[[#This Row],[status]]="Operational",1,0)</f>
        <v>1</v>
      </c>
      <c r="L336">
        <f t="shared" si="10"/>
        <v>2</v>
      </c>
      <c r="M336" t="str">
        <f t="shared" si="11"/>
        <v>Kerala</v>
      </c>
    </row>
    <row r="337" spans="1:13">
      <c r="A337">
        <v>313751</v>
      </c>
      <c r="B337" t="s">
        <v>739</v>
      </c>
      <c r="C337" t="s">
        <v>541</v>
      </c>
      <c r="D337" t="s">
        <v>70</v>
      </c>
      <c r="E337" t="s">
        <v>13</v>
      </c>
      <c r="F337">
        <v>12.20776624</v>
      </c>
      <c r="G337">
        <v>75.279452129999996</v>
      </c>
      <c r="H337">
        <v>2</v>
      </c>
      <c r="I337" t="s">
        <v>14</v>
      </c>
      <c r="J337" t="s">
        <v>174</v>
      </c>
      <c r="K337">
        <f>IF(tbl_ChargingStation[[#This Row],[status]]="Operational",1,0)</f>
        <v>1</v>
      </c>
      <c r="L337">
        <f t="shared" si="10"/>
        <v>2</v>
      </c>
      <c r="M337" t="str">
        <f t="shared" si="11"/>
        <v>Kerala</v>
      </c>
    </row>
    <row r="338" spans="1:13">
      <c r="A338">
        <v>313750</v>
      </c>
      <c r="B338" t="s">
        <v>740</v>
      </c>
      <c r="C338" t="s">
        <v>741</v>
      </c>
      <c r="D338" t="s">
        <v>70</v>
      </c>
      <c r="E338" t="s">
        <v>13</v>
      </c>
      <c r="F338">
        <v>11.99744945</v>
      </c>
      <c r="G338">
        <v>75.370907529999997</v>
      </c>
      <c r="H338">
        <v>2</v>
      </c>
      <c r="I338" t="s">
        <v>14</v>
      </c>
      <c r="J338" t="s">
        <v>174</v>
      </c>
      <c r="K338">
        <f>IF(tbl_ChargingStation[[#This Row],[status]]="Operational",1,0)</f>
        <v>1</v>
      </c>
      <c r="L338">
        <f t="shared" si="10"/>
        <v>2</v>
      </c>
      <c r="M338" t="str">
        <f t="shared" si="11"/>
        <v>Kerala</v>
      </c>
    </row>
    <row r="339" spans="1:13">
      <c r="A339">
        <v>313742</v>
      </c>
      <c r="B339" t="s">
        <v>752</v>
      </c>
      <c r="C339" t="s">
        <v>753</v>
      </c>
      <c r="D339" t="s">
        <v>70</v>
      </c>
      <c r="E339" t="s">
        <v>13</v>
      </c>
      <c r="F339">
        <v>11.73640531</v>
      </c>
      <c r="G339">
        <v>75.986744229999999</v>
      </c>
      <c r="H339">
        <v>2</v>
      </c>
      <c r="I339" t="s">
        <v>14</v>
      </c>
      <c r="J339" t="s">
        <v>174</v>
      </c>
      <c r="K339">
        <f>IF(tbl_ChargingStation[[#This Row],[status]]="Operational",1,0)</f>
        <v>1</v>
      </c>
      <c r="L339">
        <f t="shared" si="10"/>
        <v>2</v>
      </c>
      <c r="M339" t="str">
        <f t="shared" si="11"/>
        <v>Kerala</v>
      </c>
    </row>
    <row r="340" spans="1:13">
      <c r="A340">
        <v>313741</v>
      </c>
      <c r="B340" t="s">
        <v>754</v>
      </c>
      <c r="C340" t="s">
        <v>755</v>
      </c>
      <c r="D340" t="s">
        <v>70</v>
      </c>
      <c r="E340" t="s">
        <v>13</v>
      </c>
      <c r="F340">
        <v>11.79697764</v>
      </c>
      <c r="G340">
        <v>76.006601130000007</v>
      </c>
      <c r="H340">
        <v>2</v>
      </c>
      <c r="I340" t="s">
        <v>14</v>
      </c>
      <c r="J340" t="s">
        <v>174</v>
      </c>
      <c r="K340">
        <f>IF(tbl_ChargingStation[[#This Row],[status]]="Operational",1,0)</f>
        <v>1</v>
      </c>
      <c r="L340">
        <f t="shared" si="10"/>
        <v>2</v>
      </c>
      <c r="M340" t="str">
        <f t="shared" si="11"/>
        <v>Kerala</v>
      </c>
    </row>
    <row r="341" spans="1:13">
      <c r="A341">
        <v>313739</v>
      </c>
      <c r="B341" t="s">
        <v>757</v>
      </c>
      <c r="C341" t="s">
        <v>524</v>
      </c>
      <c r="D341" t="s">
        <v>70</v>
      </c>
      <c r="E341" t="s">
        <v>13</v>
      </c>
      <c r="F341">
        <v>11.654045699999999</v>
      </c>
      <c r="G341">
        <v>76.153585239999998</v>
      </c>
      <c r="H341">
        <v>2</v>
      </c>
      <c r="I341" t="s">
        <v>14</v>
      </c>
      <c r="J341" t="s">
        <v>174</v>
      </c>
      <c r="K341">
        <f>IF(tbl_ChargingStation[[#This Row],[status]]="Operational",1,0)</f>
        <v>1</v>
      </c>
      <c r="L341">
        <f t="shared" si="10"/>
        <v>2</v>
      </c>
      <c r="M341" t="str">
        <f t="shared" si="11"/>
        <v>Kerala</v>
      </c>
    </row>
    <row r="342" spans="1:13">
      <c r="A342">
        <v>313734</v>
      </c>
      <c r="B342" t="s">
        <v>764</v>
      </c>
      <c r="C342" t="s">
        <v>765</v>
      </c>
      <c r="D342" t="s">
        <v>70</v>
      </c>
      <c r="E342" t="s">
        <v>13</v>
      </c>
      <c r="F342">
        <v>11.311692150000001</v>
      </c>
      <c r="G342">
        <v>75.882593400000005</v>
      </c>
      <c r="H342">
        <v>2</v>
      </c>
      <c r="I342" t="s">
        <v>14</v>
      </c>
      <c r="J342" t="s">
        <v>174</v>
      </c>
      <c r="K342">
        <f>IF(tbl_ChargingStation[[#This Row],[status]]="Operational",1,0)</f>
        <v>1</v>
      </c>
      <c r="L342">
        <f t="shared" si="10"/>
        <v>2</v>
      </c>
      <c r="M342" t="str">
        <f t="shared" si="11"/>
        <v>Kerala</v>
      </c>
    </row>
    <row r="343" spans="1:13">
      <c r="A343">
        <v>313720</v>
      </c>
      <c r="B343" t="s">
        <v>784</v>
      </c>
      <c r="C343" t="s">
        <v>785</v>
      </c>
      <c r="D343" t="s">
        <v>70</v>
      </c>
      <c r="E343" t="s">
        <v>13</v>
      </c>
      <c r="F343">
        <v>11.14491898</v>
      </c>
      <c r="G343">
        <v>75.896169760000006</v>
      </c>
      <c r="H343">
        <v>2</v>
      </c>
      <c r="I343" t="s">
        <v>14</v>
      </c>
      <c r="J343" t="s">
        <v>174</v>
      </c>
      <c r="K343">
        <f>IF(tbl_ChargingStation[[#This Row],[status]]="Operational",1,0)</f>
        <v>1</v>
      </c>
      <c r="L343">
        <f t="shared" si="10"/>
        <v>2</v>
      </c>
      <c r="M343" t="str">
        <f t="shared" si="11"/>
        <v>Kerala</v>
      </c>
    </row>
    <row r="344" spans="1:13">
      <c r="A344">
        <v>313718</v>
      </c>
      <c r="B344" t="s">
        <v>787</v>
      </c>
      <c r="C344" t="s">
        <v>788</v>
      </c>
      <c r="D344" t="s">
        <v>70</v>
      </c>
      <c r="E344" t="s">
        <v>13</v>
      </c>
      <c r="F344">
        <v>10.92282041</v>
      </c>
      <c r="G344">
        <v>76.032918409999994</v>
      </c>
      <c r="H344">
        <v>2</v>
      </c>
      <c r="I344" t="s">
        <v>14</v>
      </c>
      <c r="J344" t="s">
        <v>174</v>
      </c>
      <c r="K344">
        <f>IF(tbl_ChargingStation[[#This Row],[status]]="Operational",1,0)</f>
        <v>1</v>
      </c>
      <c r="L344">
        <f t="shared" si="10"/>
        <v>2</v>
      </c>
      <c r="M344" t="str">
        <f t="shared" si="11"/>
        <v>Kerala</v>
      </c>
    </row>
    <row r="345" spans="1:13">
      <c r="A345">
        <v>313717</v>
      </c>
      <c r="B345" t="s">
        <v>789</v>
      </c>
      <c r="C345" t="s">
        <v>790</v>
      </c>
      <c r="D345" t="s">
        <v>70</v>
      </c>
      <c r="E345" t="s">
        <v>13</v>
      </c>
      <c r="F345">
        <v>11.001726590000001</v>
      </c>
      <c r="G345">
        <v>75.980449419999999</v>
      </c>
      <c r="H345">
        <v>2</v>
      </c>
      <c r="I345" t="s">
        <v>14</v>
      </c>
      <c r="J345" t="s">
        <v>174</v>
      </c>
      <c r="K345">
        <f>IF(tbl_ChargingStation[[#This Row],[status]]="Operational",1,0)</f>
        <v>1</v>
      </c>
      <c r="L345">
        <f t="shared" si="10"/>
        <v>2</v>
      </c>
      <c r="M345" t="str">
        <f t="shared" si="11"/>
        <v>Kerala</v>
      </c>
    </row>
    <row r="346" spans="1:13">
      <c r="A346">
        <v>313713</v>
      </c>
      <c r="B346" t="s">
        <v>795</v>
      </c>
      <c r="C346" t="s">
        <v>699</v>
      </c>
      <c r="D346" t="s">
        <v>70</v>
      </c>
      <c r="E346" t="s">
        <v>13</v>
      </c>
      <c r="F346">
        <v>11.09639986</v>
      </c>
      <c r="G346">
        <v>76.210707049999996</v>
      </c>
      <c r="H346">
        <v>2</v>
      </c>
      <c r="I346" t="s">
        <v>14</v>
      </c>
      <c r="J346" t="s">
        <v>174</v>
      </c>
      <c r="K346">
        <f>IF(tbl_ChargingStation[[#This Row],[status]]="Operational",1,0)</f>
        <v>1</v>
      </c>
      <c r="L346">
        <f t="shared" si="10"/>
        <v>2</v>
      </c>
      <c r="M346" t="str">
        <f t="shared" si="11"/>
        <v>Kerala</v>
      </c>
    </row>
    <row r="347" spans="1:13">
      <c r="A347">
        <v>313712</v>
      </c>
      <c r="B347" t="s">
        <v>796</v>
      </c>
      <c r="C347" t="s">
        <v>797</v>
      </c>
      <c r="D347" t="s">
        <v>70</v>
      </c>
      <c r="E347" t="s">
        <v>13</v>
      </c>
      <c r="F347">
        <v>11.05620809</v>
      </c>
      <c r="G347">
        <v>76.278512030000002</v>
      </c>
      <c r="H347">
        <v>2</v>
      </c>
      <c r="I347" t="s">
        <v>14</v>
      </c>
      <c r="J347" t="s">
        <v>174</v>
      </c>
      <c r="K347">
        <f>IF(tbl_ChargingStation[[#This Row],[status]]="Operational",1,0)</f>
        <v>1</v>
      </c>
      <c r="L347">
        <f t="shared" si="10"/>
        <v>2</v>
      </c>
      <c r="M347" t="str">
        <f t="shared" si="11"/>
        <v>Kerala</v>
      </c>
    </row>
    <row r="348" spans="1:13">
      <c r="A348">
        <v>313710</v>
      </c>
      <c r="B348" t="s">
        <v>800</v>
      </c>
      <c r="C348" t="s">
        <v>259</v>
      </c>
      <c r="D348" t="s">
        <v>70</v>
      </c>
      <c r="E348" t="s">
        <v>13</v>
      </c>
      <c r="F348">
        <v>10.977193890000001</v>
      </c>
      <c r="G348">
        <v>76.221650890000006</v>
      </c>
      <c r="H348">
        <v>2</v>
      </c>
      <c r="I348" t="s">
        <v>14</v>
      </c>
      <c r="J348" t="s">
        <v>174</v>
      </c>
      <c r="K348">
        <f>IF(tbl_ChargingStation[[#This Row],[status]]="Operational",1,0)</f>
        <v>1</v>
      </c>
      <c r="L348">
        <f t="shared" si="10"/>
        <v>2</v>
      </c>
      <c r="M348" t="str">
        <f t="shared" si="11"/>
        <v>Kerala</v>
      </c>
    </row>
    <row r="349" spans="1:13">
      <c r="A349">
        <v>313709</v>
      </c>
      <c r="B349" t="s">
        <v>801</v>
      </c>
      <c r="C349" t="s">
        <v>693</v>
      </c>
      <c r="D349" t="s">
        <v>70</v>
      </c>
      <c r="E349" t="s">
        <v>13</v>
      </c>
      <c r="F349">
        <v>10.98886452</v>
      </c>
      <c r="G349">
        <v>76.436688509999996</v>
      </c>
      <c r="H349">
        <v>2</v>
      </c>
      <c r="I349" t="s">
        <v>14</v>
      </c>
      <c r="J349" t="s">
        <v>174</v>
      </c>
      <c r="K349">
        <f>IF(tbl_ChargingStation[[#This Row],[status]]="Operational",1,0)</f>
        <v>1</v>
      </c>
      <c r="L349">
        <f t="shared" si="10"/>
        <v>2</v>
      </c>
      <c r="M349" t="str">
        <f t="shared" si="11"/>
        <v>Kerala</v>
      </c>
    </row>
    <row r="350" spans="1:13">
      <c r="A350">
        <v>313707</v>
      </c>
      <c r="B350" t="s">
        <v>804</v>
      </c>
      <c r="C350" t="s">
        <v>805</v>
      </c>
      <c r="D350" t="s">
        <v>70</v>
      </c>
      <c r="E350" t="s">
        <v>13</v>
      </c>
      <c r="F350">
        <v>10.80227998</v>
      </c>
      <c r="G350">
        <v>76.785202990000002</v>
      </c>
      <c r="H350">
        <v>2</v>
      </c>
      <c r="I350" t="s">
        <v>14</v>
      </c>
      <c r="J350" t="s">
        <v>174</v>
      </c>
      <c r="K350">
        <f>IF(tbl_ChargingStation[[#This Row],[status]]="Operational",1,0)</f>
        <v>1</v>
      </c>
      <c r="L350">
        <f t="shared" si="10"/>
        <v>2</v>
      </c>
      <c r="M350" t="str">
        <f t="shared" si="11"/>
        <v>Kerala</v>
      </c>
    </row>
    <row r="351" spans="1:13">
      <c r="A351">
        <v>313706</v>
      </c>
      <c r="B351" t="s">
        <v>806</v>
      </c>
      <c r="C351" t="s">
        <v>264</v>
      </c>
      <c r="D351" t="s">
        <v>70</v>
      </c>
      <c r="E351" t="s">
        <v>13</v>
      </c>
      <c r="F351">
        <v>10.78535486</v>
      </c>
      <c r="G351">
        <v>76.603955679999999</v>
      </c>
      <c r="H351">
        <v>2</v>
      </c>
      <c r="I351" t="s">
        <v>14</v>
      </c>
      <c r="J351" t="s">
        <v>174</v>
      </c>
      <c r="K351">
        <f>IF(tbl_ChargingStation[[#This Row],[status]]="Operational",1,0)</f>
        <v>1</v>
      </c>
      <c r="L351">
        <f t="shared" si="10"/>
        <v>2</v>
      </c>
      <c r="M351" t="str">
        <f t="shared" si="11"/>
        <v>Kerala</v>
      </c>
    </row>
    <row r="352" spans="1:13">
      <c r="A352">
        <v>313703</v>
      </c>
      <c r="B352" t="s">
        <v>811</v>
      </c>
      <c r="C352" t="s">
        <v>716</v>
      </c>
      <c r="D352" t="s">
        <v>70</v>
      </c>
      <c r="E352" t="s">
        <v>13</v>
      </c>
      <c r="F352">
        <v>10.77814249</v>
      </c>
      <c r="G352">
        <v>76.437430379999995</v>
      </c>
      <c r="H352">
        <v>2</v>
      </c>
      <c r="I352" t="s">
        <v>14</v>
      </c>
      <c r="J352" t="s">
        <v>174</v>
      </c>
      <c r="K352">
        <f>IF(tbl_ChargingStation[[#This Row],[status]]="Operational",1,0)</f>
        <v>1</v>
      </c>
      <c r="L352">
        <f t="shared" si="10"/>
        <v>2</v>
      </c>
      <c r="M352" t="str">
        <f t="shared" si="11"/>
        <v>Kerala</v>
      </c>
    </row>
    <row r="353" spans="1:13">
      <c r="A353">
        <v>313700</v>
      </c>
      <c r="B353" t="s">
        <v>815</v>
      </c>
      <c r="C353" t="s">
        <v>688</v>
      </c>
      <c r="D353" t="s">
        <v>70</v>
      </c>
      <c r="E353" t="s">
        <v>13</v>
      </c>
      <c r="F353">
        <v>10.801586110000001</v>
      </c>
      <c r="G353">
        <v>76.178408430000005</v>
      </c>
      <c r="H353">
        <v>2</v>
      </c>
      <c r="I353" t="s">
        <v>14</v>
      </c>
      <c r="J353" t="s">
        <v>174</v>
      </c>
      <c r="K353">
        <f>IF(tbl_ChargingStation[[#This Row],[status]]="Operational",1,0)</f>
        <v>1</v>
      </c>
      <c r="L353">
        <f t="shared" si="10"/>
        <v>2</v>
      </c>
      <c r="M353" t="str">
        <f t="shared" si="11"/>
        <v>Kerala</v>
      </c>
    </row>
    <row r="354" spans="1:13">
      <c r="A354">
        <v>313698</v>
      </c>
      <c r="B354" t="s">
        <v>818</v>
      </c>
      <c r="C354" t="s">
        <v>697</v>
      </c>
      <c r="D354" t="s">
        <v>70</v>
      </c>
      <c r="E354" t="s">
        <v>13</v>
      </c>
      <c r="F354">
        <v>10.734551959999999</v>
      </c>
      <c r="G354">
        <v>76.048646689999998</v>
      </c>
      <c r="H354">
        <v>2</v>
      </c>
      <c r="I354" t="s">
        <v>14</v>
      </c>
      <c r="J354" t="s">
        <v>174</v>
      </c>
      <c r="K354">
        <f>IF(tbl_ChargingStation[[#This Row],[status]]="Operational",1,0)</f>
        <v>1</v>
      </c>
      <c r="L354">
        <f t="shared" si="10"/>
        <v>2</v>
      </c>
      <c r="M354" t="str">
        <f t="shared" si="11"/>
        <v>Kerala</v>
      </c>
    </row>
    <row r="355" spans="1:13">
      <c r="A355">
        <v>313696</v>
      </c>
      <c r="B355" t="s">
        <v>820</v>
      </c>
      <c r="C355" t="s">
        <v>821</v>
      </c>
      <c r="D355" t="s">
        <v>70</v>
      </c>
      <c r="E355" t="s">
        <v>13</v>
      </c>
      <c r="F355">
        <v>10.733824070000001</v>
      </c>
      <c r="G355">
        <v>75.974813119999993</v>
      </c>
      <c r="H355">
        <v>2</v>
      </c>
      <c r="I355" t="s">
        <v>14</v>
      </c>
      <c r="J355" t="s">
        <v>174</v>
      </c>
      <c r="K355">
        <f>IF(tbl_ChargingStation[[#This Row],[status]]="Operational",1,0)</f>
        <v>1</v>
      </c>
      <c r="L355">
        <f t="shared" si="10"/>
        <v>2</v>
      </c>
      <c r="M355" t="str">
        <f t="shared" si="11"/>
        <v>Kerala</v>
      </c>
    </row>
    <row r="356" spans="1:13">
      <c r="A356">
        <v>313693</v>
      </c>
      <c r="B356" t="s">
        <v>804</v>
      </c>
      <c r="C356" t="s">
        <v>826</v>
      </c>
      <c r="D356" t="s">
        <v>70</v>
      </c>
      <c r="E356" t="s">
        <v>13</v>
      </c>
      <c r="F356">
        <v>10.681340820000001</v>
      </c>
      <c r="G356">
        <v>76.169669990000003</v>
      </c>
      <c r="H356">
        <v>2</v>
      </c>
      <c r="I356" t="s">
        <v>14</v>
      </c>
      <c r="J356" t="s">
        <v>174</v>
      </c>
      <c r="K356">
        <f>IF(tbl_ChargingStation[[#This Row],[status]]="Operational",1,0)</f>
        <v>1</v>
      </c>
      <c r="L356">
        <f t="shared" si="10"/>
        <v>2</v>
      </c>
      <c r="M356" t="str">
        <f t="shared" si="11"/>
        <v>Kerala</v>
      </c>
    </row>
    <row r="357" spans="1:13">
      <c r="A357">
        <v>313683</v>
      </c>
      <c r="B357" t="s">
        <v>832</v>
      </c>
      <c r="C357" t="s">
        <v>169</v>
      </c>
      <c r="D357" t="s">
        <v>70</v>
      </c>
      <c r="E357" t="s">
        <v>13</v>
      </c>
      <c r="F357">
        <v>10.54056179</v>
      </c>
      <c r="G357">
        <v>76.215686779999999</v>
      </c>
      <c r="H357">
        <v>2</v>
      </c>
      <c r="I357" t="s">
        <v>14</v>
      </c>
      <c r="J357" t="s">
        <v>174</v>
      </c>
      <c r="K357">
        <f>IF(tbl_ChargingStation[[#This Row],[status]]="Operational",1,0)</f>
        <v>1</v>
      </c>
      <c r="L357">
        <f t="shared" si="10"/>
        <v>2</v>
      </c>
      <c r="M357" t="str">
        <f t="shared" si="11"/>
        <v>Kerala</v>
      </c>
    </row>
    <row r="358" spans="1:13">
      <c r="A358">
        <v>313681</v>
      </c>
      <c r="B358" t="s">
        <v>834</v>
      </c>
      <c r="C358" t="s">
        <v>169</v>
      </c>
      <c r="D358" t="s">
        <v>70</v>
      </c>
      <c r="E358" t="s">
        <v>13</v>
      </c>
      <c r="F358">
        <v>10.521332299999999</v>
      </c>
      <c r="G358">
        <v>76.230756850000006</v>
      </c>
      <c r="H358">
        <v>2</v>
      </c>
      <c r="I358" t="s">
        <v>14</v>
      </c>
      <c r="J358" t="s">
        <v>174</v>
      </c>
      <c r="K358">
        <f>IF(tbl_ChargingStation[[#This Row],[status]]="Operational",1,0)</f>
        <v>1</v>
      </c>
      <c r="L358">
        <f t="shared" si="10"/>
        <v>2</v>
      </c>
      <c r="M358" t="str">
        <f t="shared" si="11"/>
        <v>Kerala</v>
      </c>
    </row>
    <row r="359" spans="1:13">
      <c r="A359">
        <v>313675</v>
      </c>
      <c r="B359" t="s">
        <v>841</v>
      </c>
      <c r="C359" t="s">
        <v>842</v>
      </c>
      <c r="D359" t="s">
        <v>70</v>
      </c>
      <c r="E359" t="s">
        <v>13</v>
      </c>
      <c r="F359">
        <v>10.43156926</v>
      </c>
      <c r="G359">
        <v>76.142559509999998</v>
      </c>
      <c r="H359">
        <v>2</v>
      </c>
      <c r="I359" t="s">
        <v>14</v>
      </c>
      <c r="J359" t="s">
        <v>174</v>
      </c>
      <c r="K359">
        <f>IF(tbl_ChargingStation[[#This Row],[status]]="Operational",1,0)</f>
        <v>1</v>
      </c>
      <c r="L359">
        <f t="shared" si="10"/>
        <v>2</v>
      </c>
      <c r="M359" t="str">
        <f t="shared" si="11"/>
        <v>Kerala</v>
      </c>
    </row>
    <row r="360" spans="1:13">
      <c r="A360">
        <v>313672</v>
      </c>
      <c r="B360" t="s">
        <v>845</v>
      </c>
      <c r="C360" t="s">
        <v>846</v>
      </c>
      <c r="D360" t="s">
        <v>70</v>
      </c>
      <c r="E360" t="s">
        <v>13</v>
      </c>
      <c r="F360">
        <v>10.40243778</v>
      </c>
      <c r="G360">
        <v>76.112633079999995</v>
      </c>
      <c r="H360">
        <v>2</v>
      </c>
      <c r="I360" t="s">
        <v>14</v>
      </c>
      <c r="J360" t="s">
        <v>174</v>
      </c>
      <c r="K360">
        <f>IF(tbl_ChargingStation[[#This Row],[status]]="Operational",1,0)</f>
        <v>1</v>
      </c>
      <c r="L360">
        <f t="shared" si="10"/>
        <v>2</v>
      </c>
      <c r="M360" t="str">
        <f t="shared" si="11"/>
        <v>Kerala</v>
      </c>
    </row>
    <row r="361" spans="1:13">
      <c r="A361">
        <v>313671</v>
      </c>
      <c r="B361" t="s">
        <v>818</v>
      </c>
      <c r="C361" t="s">
        <v>847</v>
      </c>
      <c r="D361" t="s">
        <v>70</v>
      </c>
      <c r="E361" t="s">
        <v>13</v>
      </c>
      <c r="F361">
        <v>10.408609</v>
      </c>
      <c r="G361">
        <v>76.214025599999999</v>
      </c>
      <c r="H361">
        <v>2</v>
      </c>
      <c r="I361" t="s">
        <v>14</v>
      </c>
      <c r="J361" t="s">
        <v>174</v>
      </c>
      <c r="K361">
        <f>IF(tbl_ChargingStation[[#This Row],[status]]="Operational",1,0)</f>
        <v>1</v>
      </c>
      <c r="L361">
        <f t="shared" si="10"/>
        <v>2</v>
      </c>
      <c r="M361" t="str">
        <f t="shared" si="11"/>
        <v>Kerala</v>
      </c>
    </row>
    <row r="362" spans="1:13">
      <c r="A362">
        <v>313665</v>
      </c>
      <c r="B362" t="s">
        <v>811</v>
      </c>
      <c r="C362" t="s">
        <v>680</v>
      </c>
      <c r="D362" t="s">
        <v>70</v>
      </c>
      <c r="E362" t="s">
        <v>13</v>
      </c>
      <c r="F362">
        <v>10.59195731</v>
      </c>
      <c r="G362">
        <v>76.465711769999999</v>
      </c>
      <c r="H362">
        <v>2</v>
      </c>
      <c r="I362" t="s">
        <v>425</v>
      </c>
      <c r="J362" t="s">
        <v>174</v>
      </c>
      <c r="K362">
        <f>IF(tbl_ChargingStation[[#This Row],[status]]="Operational",1,0)</f>
        <v>0</v>
      </c>
      <c r="L362">
        <f t="shared" si="10"/>
        <v>0</v>
      </c>
      <c r="M362" t="str">
        <f t="shared" si="11"/>
        <v>Kerala</v>
      </c>
    </row>
    <row r="363" spans="1:13">
      <c r="A363">
        <v>313661</v>
      </c>
      <c r="B363" t="s">
        <v>855</v>
      </c>
      <c r="C363" t="s">
        <v>489</v>
      </c>
      <c r="D363" t="s">
        <v>70</v>
      </c>
      <c r="E363" t="s">
        <v>13</v>
      </c>
      <c r="F363">
        <v>10.43389238</v>
      </c>
      <c r="G363">
        <v>76.265148719999999</v>
      </c>
      <c r="H363">
        <v>2</v>
      </c>
      <c r="I363" t="s">
        <v>14</v>
      </c>
      <c r="J363" t="s">
        <v>174</v>
      </c>
      <c r="K363">
        <f>IF(tbl_ChargingStation[[#This Row],[status]]="Operational",1,0)</f>
        <v>1</v>
      </c>
      <c r="L363">
        <f t="shared" si="10"/>
        <v>2</v>
      </c>
      <c r="M363" t="str">
        <f t="shared" si="11"/>
        <v>Kerala</v>
      </c>
    </row>
    <row r="364" spans="1:13">
      <c r="A364">
        <v>313659</v>
      </c>
      <c r="B364" t="s">
        <v>856</v>
      </c>
      <c r="C364" t="s">
        <v>857</v>
      </c>
      <c r="D364" t="s">
        <v>70</v>
      </c>
      <c r="E364" t="s">
        <v>13</v>
      </c>
      <c r="F364">
        <v>10.38066087</v>
      </c>
      <c r="G364">
        <v>76.297686179999999</v>
      </c>
      <c r="H364">
        <v>2</v>
      </c>
      <c r="I364" t="s">
        <v>14</v>
      </c>
      <c r="J364" t="s">
        <v>174</v>
      </c>
      <c r="K364">
        <f>IF(tbl_ChargingStation[[#This Row],[status]]="Operational",1,0)</f>
        <v>1</v>
      </c>
      <c r="L364">
        <f t="shared" si="10"/>
        <v>2</v>
      </c>
      <c r="M364" t="str">
        <f t="shared" si="11"/>
        <v>Kerala</v>
      </c>
    </row>
    <row r="365" spans="1:13">
      <c r="A365">
        <v>313656</v>
      </c>
      <c r="B365" t="s">
        <v>804</v>
      </c>
      <c r="C365" t="s">
        <v>859</v>
      </c>
      <c r="D365" t="s">
        <v>70</v>
      </c>
      <c r="E365" t="s">
        <v>13</v>
      </c>
      <c r="F365">
        <v>10.339608930000001</v>
      </c>
      <c r="G365">
        <v>76.321746309999995</v>
      </c>
      <c r="H365">
        <v>2</v>
      </c>
      <c r="I365" t="s">
        <v>14</v>
      </c>
      <c r="J365" t="s">
        <v>174</v>
      </c>
      <c r="K365">
        <f>IF(tbl_ChargingStation[[#This Row],[status]]="Operational",1,0)</f>
        <v>1</v>
      </c>
      <c r="L365">
        <f t="shared" si="10"/>
        <v>2</v>
      </c>
      <c r="M365" t="str">
        <f t="shared" si="11"/>
        <v>Kerala</v>
      </c>
    </row>
    <row r="366" spans="1:13">
      <c r="A366">
        <v>313650</v>
      </c>
      <c r="B366" t="s">
        <v>864</v>
      </c>
      <c r="C366" t="s">
        <v>865</v>
      </c>
      <c r="D366" t="s">
        <v>70</v>
      </c>
      <c r="E366" t="s">
        <v>13</v>
      </c>
      <c r="F366">
        <v>10.286039649999999</v>
      </c>
      <c r="G366">
        <v>76.558515580000005</v>
      </c>
      <c r="H366">
        <v>2</v>
      </c>
      <c r="I366" t="s">
        <v>14</v>
      </c>
      <c r="J366" t="s">
        <v>174</v>
      </c>
      <c r="K366">
        <f>IF(tbl_ChargingStation[[#This Row],[status]]="Operational",1,0)</f>
        <v>1</v>
      </c>
      <c r="L366">
        <f t="shared" si="10"/>
        <v>2</v>
      </c>
      <c r="M366" t="str">
        <f t="shared" si="11"/>
        <v>Kerala</v>
      </c>
    </row>
    <row r="367" spans="1:13">
      <c r="A367">
        <v>313648</v>
      </c>
      <c r="B367" t="s">
        <v>867</v>
      </c>
      <c r="C367" t="s">
        <v>483</v>
      </c>
      <c r="D367" t="s">
        <v>70</v>
      </c>
      <c r="E367" t="s">
        <v>13</v>
      </c>
      <c r="F367">
        <v>10.197144120000001</v>
      </c>
      <c r="G367">
        <v>76.384109589999994</v>
      </c>
      <c r="H367">
        <v>2</v>
      </c>
      <c r="I367" t="s">
        <v>14</v>
      </c>
      <c r="J367" t="s">
        <v>174</v>
      </c>
      <c r="K367">
        <f>IF(tbl_ChargingStation[[#This Row],[status]]="Operational",1,0)</f>
        <v>1</v>
      </c>
      <c r="L367">
        <f t="shared" si="10"/>
        <v>2</v>
      </c>
      <c r="M367" t="str">
        <f t="shared" si="11"/>
        <v>Kerala</v>
      </c>
    </row>
    <row r="368" spans="1:13">
      <c r="A368">
        <v>313647</v>
      </c>
      <c r="B368" t="s">
        <v>868</v>
      </c>
      <c r="C368" t="s">
        <v>483</v>
      </c>
      <c r="D368" t="s">
        <v>70</v>
      </c>
      <c r="E368" t="s">
        <v>13</v>
      </c>
      <c r="F368">
        <v>10.189753400000001</v>
      </c>
      <c r="G368">
        <v>76.386642269999996</v>
      </c>
      <c r="H368">
        <v>2</v>
      </c>
      <c r="I368" t="s">
        <v>14</v>
      </c>
      <c r="J368" t="s">
        <v>174</v>
      </c>
      <c r="K368">
        <f>IF(tbl_ChargingStation[[#This Row],[status]]="Operational",1,0)</f>
        <v>1</v>
      </c>
      <c r="L368">
        <f t="shared" si="10"/>
        <v>2</v>
      </c>
      <c r="M368" t="str">
        <f t="shared" si="11"/>
        <v>Kerala</v>
      </c>
    </row>
    <row r="369" spans="1:13">
      <c r="A369">
        <v>313639</v>
      </c>
      <c r="B369" t="s">
        <v>877</v>
      </c>
      <c r="C369" t="s">
        <v>878</v>
      </c>
      <c r="D369" t="s">
        <v>70</v>
      </c>
      <c r="E369" t="s">
        <v>13</v>
      </c>
      <c r="F369">
        <v>10.154913049999999</v>
      </c>
      <c r="G369">
        <v>76.286014449999996</v>
      </c>
      <c r="H369">
        <v>2</v>
      </c>
      <c r="I369" t="s">
        <v>14</v>
      </c>
      <c r="J369" t="s">
        <v>174</v>
      </c>
      <c r="K369">
        <f>IF(tbl_ChargingStation[[#This Row],[status]]="Operational",1,0)</f>
        <v>1</v>
      </c>
      <c r="L369">
        <f t="shared" si="10"/>
        <v>2</v>
      </c>
      <c r="M369" t="str">
        <f t="shared" si="11"/>
        <v>Kerala</v>
      </c>
    </row>
    <row r="370" spans="1:13">
      <c r="A370">
        <v>313637</v>
      </c>
      <c r="B370" t="s">
        <v>880</v>
      </c>
      <c r="C370" t="s">
        <v>183</v>
      </c>
      <c r="D370" t="s">
        <v>70</v>
      </c>
      <c r="E370" t="s">
        <v>13</v>
      </c>
      <c r="F370">
        <v>10.077284479999999</v>
      </c>
      <c r="G370">
        <v>76.337641230000003</v>
      </c>
      <c r="H370">
        <v>2</v>
      </c>
      <c r="I370" t="s">
        <v>14</v>
      </c>
      <c r="J370" t="s">
        <v>174</v>
      </c>
      <c r="K370">
        <f>IF(tbl_ChargingStation[[#This Row],[status]]="Operational",1,0)</f>
        <v>1</v>
      </c>
      <c r="L370">
        <f t="shared" si="10"/>
        <v>2</v>
      </c>
      <c r="M370" t="str">
        <f t="shared" si="11"/>
        <v>Kerala</v>
      </c>
    </row>
    <row r="371" spans="1:13">
      <c r="A371">
        <v>313633</v>
      </c>
      <c r="B371" t="s">
        <v>885</v>
      </c>
      <c r="C371" t="s">
        <v>473</v>
      </c>
      <c r="D371" t="s">
        <v>711</v>
      </c>
      <c r="E371" t="s">
        <v>13</v>
      </c>
      <c r="F371">
        <v>10.027760860000001</v>
      </c>
      <c r="G371">
        <v>76.311174440000002</v>
      </c>
      <c r="H371">
        <v>2</v>
      </c>
      <c r="I371" t="s">
        <v>14</v>
      </c>
      <c r="J371" t="s">
        <v>174</v>
      </c>
      <c r="K371">
        <f>IF(tbl_ChargingStation[[#This Row],[status]]="Operational",1,0)</f>
        <v>1</v>
      </c>
      <c r="L371">
        <f t="shared" si="10"/>
        <v>2</v>
      </c>
      <c r="M371" t="str">
        <f t="shared" si="11"/>
        <v>Kerala</v>
      </c>
    </row>
    <row r="372" spans="1:13">
      <c r="A372">
        <v>313628</v>
      </c>
      <c r="B372" t="s">
        <v>892</v>
      </c>
      <c r="C372" t="s">
        <v>288</v>
      </c>
      <c r="D372" t="s">
        <v>70</v>
      </c>
      <c r="E372" t="s">
        <v>13</v>
      </c>
      <c r="F372">
        <v>9.9626677630000007</v>
      </c>
      <c r="G372">
        <v>76.318213540000002</v>
      </c>
      <c r="H372">
        <v>2</v>
      </c>
      <c r="I372" t="s">
        <v>14</v>
      </c>
      <c r="J372" t="s">
        <v>174</v>
      </c>
      <c r="K372">
        <f>IF(tbl_ChargingStation[[#This Row],[status]]="Operational",1,0)</f>
        <v>1</v>
      </c>
      <c r="L372">
        <f t="shared" si="10"/>
        <v>2</v>
      </c>
      <c r="M372" t="str">
        <f t="shared" si="11"/>
        <v>Kerala</v>
      </c>
    </row>
    <row r="373" spans="1:13">
      <c r="A373">
        <v>313626</v>
      </c>
      <c r="B373" t="s">
        <v>894</v>
      </c>
      <c r="C373" t="s">
        <v>627</v>
      </c>
      <c r="D373" t="s">
        <v>70</v>
      </c>
      <c r="E373" t="s">
        <v>13</v>
      </c>
      <c r="F373">
        <v>9.9481349859999995</v>
      </c>
      <c r="G373">
        <v>76.318501760000004</v>
      </c>
      <c r="H373">
        <v>2</v>
      </c>
      <c r="I373" t="s">
        <v>14</v>
      </c>
      <c r="J373" t="s">
        <v>174</v>
      </c>
      <c r="K373">
        <f>IF(tbl_ChargingStation[[#This Row],[status]]="Operational",1,0)</f>
        <v>1</v>
      </c>
      <c r="L373">
        <f t="shared" si="10"/>
        <v>2</v>
      </c>
      <c r="M373" t="str">
        <f t="shared" si="11"/>
        <v>Kerala</v>
      </c>
    </row>
    <row r="374" spans="1:13">
      <c r="A374">
        <v>313625</v>
      </c>
      <c r="B374" t="s">
        <v>895</v>
      </c>
      <c r="C374" t="s">
        <v>627</v>
      </c>
      <c r="D374" t="s">
        <v>70</v>
      </c>
      <c r="E374" t="s">
        <v>13</v>
      </c>
      <c r="F374">
        <v>9.9401551010000002</v>
      </c>
      <c r="G374">
        <v>76.318418410000007</v>
      </c>
      <c r="H374">
        <v>2</v>
      </c>
      <c r="I374" t="s">
        <v>14</v>
      </c>
      <c r="J374" t="s">
        <v>174</v>
      </c>
      <c r="K374">
        <f>IF(tbl_ChargingStation[[#This Row],[status]]="Operational",1,0)</f>
        <v>1</v>
      </c>
      <c r="L374">
        <f t="shared" si="10"/>
        <v>2</v>
      </c>
      <c r="M374" t="str">
        <f t="shared" si="11"/>
        <v>Kerala</v>
      </c>
    </row>
    <row r="375" spans="1:13">
      <c r="A375">
        <v>313624</v>
      </c>
      <c r="B375" t="s">
        <v>896</v>
      </c>
      <c r="C375" t="s">
        <v>627</v>
      </c>
      <c r="D375" t="s">
        <v>70</v>
      </c>
      <c r="E375" t="s">
        <v>13</v>
      </c>
      <c r="F375">
        <v>9.9422252130000004</v>
      </c>
      <c r="G375">
        <v>76.333885100000003</v>
      </c>
      <c r="H375">
        <v>2</v>
      </c>
      <c r="I375" t="s">
        <v>14</v>
      </c>
      <c r="J375" t="s">
        <v>174</v>
      </c>
      <c r="K375">
        <f>IF(tbl_ChargingStation[[#This Row],[status]]="Operational",1,0)</f>
        <v>1</v>
      </c>
      <c r="L375">
        <f t="shared" si="10"/>
        <v>2</v>
      </c>
      <c r="M375" t="str">
        <f t="shared" si="11"/>
        <v>Kerala</v>
      </c>
    </row>
    <row r="376" spans="1:13">
      <c r="A376">
        <v>313618</v>
      </c>
      <c r="B376" t="s">
        <v>904</v>
      </c>
      <c r="C376" t="s">
        <v>284</v>
      </c>
      <c r="D376" t="s">
        <v>70</v>
      </c>
      <c r="E376" t="s">
        <v>13</v>
      </c>
      <c r="F376">
        <v>10.031936930000001</v>
      </c>
      <c r="G376">
        <v>76.407492520000005</v>
      </c>
      <c r="H376">
        <v>2</v>
      </c>
      <c r="I376" t="s">
        <v>14</v>
      </c>
      <c r="J376" t="s">
        <v>174</v>
      </c>
      <c r="K376">
        <f>IF(tbl_ChargingStation[[#This Row],[status]]="Operational",1,0)</f>
        <v>1</v>
      </c>
      <c r="L376">
        <f t="shared" si="10"/>
        <v>2</v>
      </c>
      <c r="M376" t="str">
        <f t="shared" si="11"/>
        <v>Kerala</v>
      </c>
    </row>
    <row r="377" spans="1:13">
      <c r="A377">
        <v>313616</v>
      </c>
      <c r="B377" t="s">
        <v>906</v>
      </c>
      <c r="C377" t="s">
        <v>88</v>
      </c>
      <c r="D377" t="s">
        <v>70</v>
      </c>
      <c r="E377" t="s">
        <v>13</v>
      </c>
      <c r="F377">
        <v>10.069470069999999</v>
      </c>
      <c r="G377">
        <v>76.602630070000004</v>
      </c>
      <c r="H377">
        <v>2</v>
      </c>
      <c r="I377" t="s">
        <v>14</v>
      </c>
      <c r="J377" t="s">
        <v>174</v>
      </c>
      <c r="K377">
        <f>IF(tbl_ChargingStation[[#This Row],[status]]="Operational",1,0)</f>
        <v>1</v>
      </c>
      <c r="L377">
        <f t="shared" si="10"/>
        <v>2</v>
      </c>
      <c r="M377" t="str">
        <f t="shared" si="11"/>
        <v>Kerala</v>
      </c>
    </row>
    <row r="378" spans="1:13">
      <c r="A378">
        <v>313612</v>
      </c>
      <c r="B378" t="s">
        <v>912</v>
      </c>
      <c r="C378" t="s">
        <v>911</v>
      </c>
      <c r="D378" t="s">
        <v>70</v>
      </c>
      <c r="E378" t="s">
        <v>13</v>
      </c>
      <c r="F378">
        <v>9.9791182680000006</v>
      </c>
      <c r="G378">
        <v>76.58664023</v>
      </c>
      <c r="H378">
        <v>2</v>
      </c>
      <c r="I378" t="s">
        <v>14</v>
      </c>
      <c r="J378" t="s">
        <v>174</v>
      </c>
      <c r="K378">
        <f>IF(tbl_ChargingStation[[#This Row],[status]]="Operational",1,0)</f>
        <v>1</v>
      </c>
      <c r="L378">
        <f t="shared" si="10"/>
        <v>2</v>
      </c>
      <c r="M378" t="str">
        <f t="shared" si="11"/>
        <v>Kerala</v>
      </c>
    </row>
    <row r="379" spans="1:13">
      <c r="A379">
        <v>313611</v>
      </c>
      <c r="B379" t="s">
        <v>913</v>
      </c>
      <c r="C379" t="s">
        <v>914</v>
      </c>
      <c r="D379" t="s">
        <v>70</v>
      </c>
      <c r="E379" t="s">
        <v>13</v>
      </c>
      <c r="F379">
        <v>9.9461573600000008</v>
      </c>
      <c r="G379">
        <v>76.635631000000004</v>
      </c>
      <c r="H379">
        <v>2</v>
      </c>
      <c r="I379" t="s">
        <v>14</v>
      </c>
      <c r="J379" t="s">
        <v>174</v>
      </c>
      <c r="K379">
        <f>IF(tbl_ChargingStation[[#This Row],[status]]="Operational",1,0)</f>
        <v>1</v>
      </c>
      <c r="L379">
        <f t="shared" si="10"/>
        <v>2</v>
      </c>
      <c r="M379" t="str">
        <f t="shared" si="11"/>
        <v>Kerala</v>
      </c>
    </row>
    <row r="380" spans="1:13">
      <c r="A380">
        <v>313610</v>
      </c>
      <c r="B380" t="s">
        <v>915</v>
      </c>
      <c r="C380" t="s">
        <v>914</v>
      </c>
      <c r="D380" t="s">
        <v>70</v>
      </c>
      <c r="E380" t="s">
        <v>13</v>
      </c>
      <c r="F380">
        <v>9.9173406970000002</v>
      </c>
      <c r="G380">
        <v>76.687581410000007</v>
      </c>
      <c r="H380">
        <v>2</v>
      </c>
      <c r="I380" t="s">
        <v>14</v>
      </c>
      <c r="J380" t="s">
        <v>174</v>
      </c>
      <c r="K380">
        <f>IF(tbl_ChargingStation[[#This Row],[status]]="Operational",1,0)</f>
        <v>1</v>
      </c>
      <c r="L380">
        <f t="shared" si="10"/>
        <v>2</v>
      </c>
      <c r="M380" t="str">
        <f t="shared" si="11"/>
        <v>Kerala</v>
      </c>
    </row>
    <row r="381" spans="1:13">
      <c r="A381">
        <v>313608</v>
      </c>
      <c r="B381" t="s">
        <v>917</v>
      </c>
      <c r="C381" t="s">
        <v>918</v>
      </c>
      <c r="D381" t="s">
        <v>70</v>
      </c>
      <c r="E381" t="s">
        <v>13</v>
      </c>
      <c r="F381">
        <v>9.8631135309999998</v>
      </c>
      <c r="G381">
        <v>76.697090520000003</v>
      </c>
      <c r="H381">
        <v>2</v>
      </c>
      <c r="I381" t="s">
        <v>14</v>
      </c>
      <c r="J381" t="s">
        <v>174</v>
      </c>
      <c r="K381">
        <f>IF(tbl_ChargingStation[[#This Row],[status]]="Operational",1,0)</f>
        <v>1</v>
      </c>
      <c r="L381">
        <f t="shared" si="10"/>
        <v>2</v>
      </c>
      <c r="M381" t="str">
        <f t="shared" si="11"/>
        <v>Kerala</v>
      </c>
    </row>
    <row r="382" spans="1:13">
      <c r="A382">
        <v>313605</v>
      </c>
      <c r="B382" t="s">
        <v>921</v>
      </c>
      <c r="C382" t="s">
        <v>922</v>
      </c>
      <c r="D382" t="s">
        <v>70</v>
      </c>
      <c r="E382" t="s">
        <v>13</v>
      </c>
      <c r="F382">
        <v>9.7988508169999999</v>
      </c>
      <c r="G382">
        <v>76.459887379999998</v>
      </c>
      <c r="H382">
        <v>2</v>
      </c>
      <c r="I382" t="s">
        <v>14</v>
      </c>
      <c r="J382" t="s">
        <v>174</v>
      </c>
      <c r="K382">
        <f>IF(tbl_ChargingStation[[#This Row],[status]]="Operational",1,0)</f>
        <v>1</v>
      </c>
      <c r="L382">
        <f t="shared" si="10"/>
        <v>2</v>
      </c>
      <c r="M382" t="str">
        <f t="shared" si="11"/>
        <v>Kerala</v>
      </c>
    </row>
    <row r="383" spans="1:13">
      <c r="A383">
        <v>313603</v>
      </c>
      <c r="B383" t="s">
        <v>807</v>
      </c>
      <c r="C383" t="s">
        <v>923</v>
      </c>
      <c r="D383" t="s">
        <v>70</v>
      </c>
      <c r="E383" t="s">
        <v>13</v>
      </c>
      <c r="F383">
        <v>9.5945813750000006</v>
      </c>
      <c r="G383">
        <v>76.426069420000005</v>
      </c>
      <c r="H383">
        <v>2</v>
      </c>
      <c r="I383" t="s">
        <v>14</v>
      </c>
      <c r="J383" t="s">
        <v>174</v>
      </c>
      <c r="K383">
        <f>IF(tbl_ChargingStation[[#This Row],[status]]="Operational",1,0)</f>
        <v>1</v>
      </c>
      <c r="L383">
        <f t="shared" si="10"/>
        <v>2</v>
      </c>
      <c r="M383" t="str">
        <f t="shared" si="11"/>
        <v>Kerala</v>
      </c>
    </row>
    <row r="384" spans="1:13">
      <c r="A384">
        <v>313601</v>
      </c>
      <c r="B384" t="s">
        <v>926</v>
      </c>
      <c r="C384" t="s">
        <v>187</v>
      </c>
      <c r="D384" t="s">
        <v>70</v>
      </c>
      <c r="E384" t="s">
        <v>13</v>
      </c>
      <c r="F384">
        <v>8.3578738529999992</v>
      </c>
      <c r="G384">
        <v>77.072944980000003</v>
      </c>
      <c r="H384">
        <v>2</v>
      </c>
      <c r="I384" t="s">
        <v>14</v>
      </c>
      <c r="J384" t="s">
        <v>174</v>
      </c>
      <c r="K384">
        <f>IF(tbl_ChargingStation[[#This Row],[status]]="Operational",1,0)</f>
        <v>1</v>
      </c>
      <c r="L384">
        <f t="shared" si="10"/>
        <v>2</v>
      </c>
      <c r="M384" t="str">
        <f t="shared" si="11"/>
        <v>Kerala</v>
      </c>
    </row>
    <row r="385" spans="1:13">
      <c r="A385">
        <v>313600</v>
      </c>
      <c r="B385" t="s">
        <v>927</v>
      </c>
      <c r="C385" t="s">
        <v>928</v>
      </c>
      <c r="D385" t="s">
        <v>70</v>
      </c>
      <c r="E385" t="s">
        <v>13</v>
      </c>
      <c r="F385">
        <v>8.4949747779999996</v>
      </c>
      <c r="G385">
        <v>76.977567980000003</v>
      </c>
      <c r="H385">
        <v>2</v>
      </c>
      <c r="I385" t="s">
        <v>14</v>
      </c>
      <c r="J385" t="s">
        <v>174</v>
      </c>
      <c r="K385">
        <f>IF(tbl_ChargingStation[[#This Row],[status]]="Operational",1,0)</f>
        <v>1</v>
      </c>
      <c r="L385">
        <f t="shared" si="10"/>
        <v>2</v>
      </c>
      <c r="M385" t="str">
        <f t="shared" si="11"/>
        <v>Kerala</v>
      </c>
    </row>
    <row r="386" spans="1:13">
      <c r="A386">
        <v>313599</v>
      </c>
      <c r="B386" t="s">
        <v>929</v>
      </c>
      <c r="C386" t="s">
        <v>930</v>
      </c>
      <c r="D386" t="s">
        <v>70</v>
      </c>
      <c r="E386" t="s">
        <v>13</v>
      </c>
      <c r="F386">
        <v>8.5485423750000002</v>
      </c>
      <c r="G386">
        <v>76.91829328</v>
      </c>
      <c r="H386">
        <v>2</v>
      </c>
      <c r="I386" t="s">
        <v>14</v>
      </c>
      <c r="J386" t="s">
        <v>174</v>
      </c>
      <c r="K386">
        <f>IF(tbl_ChargingStation[[#This Row],[status]]="Operational",1,0)</f>
        <v>1</v>
      </c>
      <c r="L386">
        <f t="shared" ref="L386:L449" si="12">H386*K386</f>
        <v>2</v>
      </c>
      <c r="M386" t="str">
        <f t="shared" ref="M386:M449" si="13">IF(D386="GJ","Gujarat",IF(OR(D386="Keral",D386="Keraka",D386="Lerala"),"Kerala",IF(D386="MH","Maharashtra",IF(D386="MP","Madhya Pradesh",IF(D386="RJ","Rajasthan",IF(D386="TAMILNADU","Tamil Nadu",IF(D386="Uttarakhnad","Uttarakhand",D386)))))))</f>
        <v>Kerala</v>
      </c>
    </row>
    <row r="387" spans="1:13">
      <c r="A387">
        <v>313597</v>
      </c>
      <c r="B387" t="s">
        <v>933</v>
      </c>
      <c r="C387" t="s">
        <v>934</v>
      </c>
      <c r="D387" t="s">
        <v>70</v>
      </c>
      <c r="E387" t="s">
        <v>13</v>
      </c>
      <c r="F387">
        <v>8.5653001660000001</v>
      </c>
      <c r="G387">
        <v>76.874447380000007</v>
      </c>
      <c r="H387">
        <v>2</v>
      </c>
      <c r="I387" t="s">
        <v>14</v>
      </c>
      <c r="J387" t="s">
        <v>174</v>
      </c>
      <c r="K387">
        <f>IF(tbl_ChargingStation[[#This Row],[status]]="Operational",1,0)</f>
        <v>1</v>
      </c>
      <c r="L387">
        <f t="shared" si="12"/>
        <v>2</v>
      </c>
      <c r="M387" t="str">
        <f t="shared" si="13"/>
        <v>Kerala</v>
      </c>
    </row>
    <row r="388" spans="1:13">
      <c r="A388">
        <v>313589</v>
      </c>
      <c r="B388" t="s">
        <v>942</v>
      </c>
      <c r="C388" t="s">
        <v>83</v>
      </c>
      <c r="D388" t="s">
        <v>70</v>
      </c>
      <c r="E388" t="s">
        <v>13</v>
      </c>
      <c r="F388">
        <v>9.6611638519999996</v>
      </c>
      <c r="G388">
        <v>76.551328330000004</v>
      </c>
      <c r="H388">
        <v>2</v>
      </c>
      <c r="I388" t="s">
        <v>14</v>
      </c>
      <c r="J388" t="s">
        <v>174</v>
      </c>
      <c r="K388">
        <f>IF(tbl_ChargingStation[[#This Row],[status]]="Operational",1,0)</f>
        <v>1</v>
      </c>
      <c r="L388">
        <f t="shared" si="12"/>
        <v>2</v>
      </c>
      <c r="M388" t="str">
        <f t="shared" si="13"/>
        <v>Kerala</v>
      </c>
    </row>
    <row r="389" spans="1:13">
      <c r="A389">
        <v>313585</v>
      </c>
      <c r="B389" t="s">
        <v>946</v>
      </c>
      <c r="C389" t="s">
        <v>614</v>
      </c>
      <c r="D389" t="s">
        <v>70</v>
      </c>
      <c r="E389" t="s">
        <v>13</v>
      </c>
      <c r="F389">
        <v>9.5862574879999993</v>
      </c>
      <c r="G389">
        <v>76.588415220000002</v>
      </c>
      <c r="H389">
        <v>2</v>
      </c>
      <c r="I389" t="s">
        <v>14</v>
      </c>
      <c r="J389" t="s">
        <v>174</v>
      </c>
      <c r="K389">
        <f>IF(tbl_ChargingStation[[#This Row],[status]]="Operational",1,0)</f>
        <v>1</v>
      </c>
      <c r="L389">
        <f t="shared" si="12"/>
        <v>2</v>
      </c>
      <c r="M389" t="str">
        <f t="shared" si="13"/>
        <v>Kerala</v>
      </c>
    </row>
    <row r="390" spans="1:13">
      <c r="A390">
        <v>313580</v>
      </c>
      <c r="B390" t="s">
        <v>953</v>
      </c>
      <c r="C390" t="s">
        <v>954</v>
      </c>
      <c r="D390" t="s">
        <v>70</v>
      </c>
      <c r="E390" t="s">
        <v>13</v>
      </c>
      <c r="F390">
        <v>9.5061644360000006</v>
      </c>
      <c r="G390">
        <v>76.652333609999999</v>
      </c>
      <c r="H390">
        <v>2</v>
      </c>
      <c r="I390" t="s">
        <v>14</v>
      </c>
      <c r="J390" t="s">
        <v>174</v>
      </c>
      <c r="K390">
        <f>IF(tbl_ChargingStation[[#This Row],[status]]="Operational",1,0)</f>
        <v>1</v>
      </c>
      <c r="L390">
        <f t="shared" si="12"/>
        <v>2</v>
      </c>
      <c r="M390" t="str">
        <f t="shared" si="13"/>
        <v>Kerala</v>
      </c>
    </row>
    <row r="391" spans="1:13">
      <c r="A391">
        <v>313569</v>
      </c>
      <c r="B391" t="s">
        <v>963</v>
      </c>
      <c r="C391" t="s">
        <v>585</v>
      </c>
      <c r="D391" t="s">
        <v>70</v>
      </c>
      <c r="E391" t="s">
        <v>13</v>
      </c>
      <c r="F391">
        <v>9.3166523689999998</v>
      </c>
      <c r="G391">
        <v>76.800902269999995</v>
      </c>
      <c r="H391">
        <v>2</v>
      </c>
      <c r="I391" t="s">
        <v>14</v>
      </c>
      <c r="J391" t="s">
        <v>174</v>
      </c>
      <c r="K391">
        <f>IF(tbl_ChargingStation[[#This Row],[status]]="Operational",1,0)</f>
        <v>1</v>
      </c>
      <c r="L391">
        <f t="shared" si="12"/>
        <v>2</v>
      </c>
      <c r="M391" t="str">
        <f t="shared" si="13"/>
        <v>Kerala</v>
      </c>
    </row>
    <row r="392" spans="1:13">
      <c r="A392">
        <v>313555</v>
      </c>
      <c r="B392" t="s">
        <v>969</v>
      </c>
      <c r="C392" t="s">
        <v>970</v>
      </c>
      <c r="D392" t="s">
        <v>12</v>
      </c>
      <c r="E392" t="s">
        <v>13</v>
      </c>
      <c r="F392">
        <v>9.2516738529999998</v>
      </c>
      <c r="G392">
        <v>76.487232640000002</v>
      </c>
      <c r="H392">
        <v>2</v>
      </c>
      <c r="I392" t="s">
        <v>425</v>
      </c>
      <c r="J392" t="s">
        <v>174</v>
      </c>
      <c r="K392">
        <f>IF(tbl_ChargingStation[[#This Row],[status]]="Operational",1,0)</f>
        <v>0</v>
      </c>
      <c r="L392">
        <f t="shared" si="12"/>
        <v>0</v>
      </c>
      <c r="M392" t="str">
        <f t="shared" si="13"/>
        <v>Unknown</v>
      </c>
    </row>
    <row r="393" spans="1:13">
      <c r="A393">
        <v>313552</v>
      </c>
      <c r="B393" t="s">
        <v>975</v>
      </c>
      <c r="C393" t="s">
        <v>976</v>
      </c>
      <c r="D393" t="s">
        <v>70</v>
      </c>
      <c r="E393" t="s">
        <v>13</v>
      </c>
      <c r="F393">
        <v>9.1871837410000001</v>
      </c>
      <c r="G393">
        <v>76.709295499999996</v>
      </c>
      <c r="H393">
        <v>2</v>
      </c>
      <c r="I393" t="s">
        <v>14</v>
      </c>
      <c r="J393" t="s">
        <v>174</v>
      </c>
      <c r="K393">
        <f>IF(tbl_ChargingStation[[#This Row],[status]]="Operational",1,0)</f>
        <v>1</v>
      </c>
      <c r="L393">
        <f t="shared" si="12"/>
        <v>2</v>
      </c>
      <c r="M393" t="str">
        <f t="shared" si="13"/>
        <v>Kerala</v>
      </c>
    </row>
    <row r="394" spans="1:13">
      <c r="A394">
        <v>313548</v>
      </c>
      <c r="B394" t="s">
        <v>979</v>
      </c>
      <c r="C394" t="s">
        <v>972</v>
      </c>
      <c r="D394" t="s">
        <v>70</v>
      </c>
      <c r="E394" t="s">
        <v>13</v>
      </c>
      <c r="F394">
        <v>9.1988811090000002</v>
      </c>
      <c r="G394">
        <v>76.600176500000003</v>
      </c>
      <c r="H394">
        <v>2</v>
      </c>
      <c r="I394" t="s">
        <v>14</v>
      </c>
      <c r="J394" t="s">
        <v>174</v>
      </c>
      <c r="K394">
        <f>IF(tbl_ChargingStation[[#This Row],[status]]="Operational",1,0)</f>
        <v>1</v>
      </c>
      <c r="L394">
        <f t="shared" si="12"/>
        <v>2</v>
      </c>
      <c r="M394" t="str">
        <f t="shared" si="13"/>
        <v>Kerala</v>
      </c>
    </row>
    <row r="395" spans="1:13">
      <c r="A395">
        <v>313546</v>
      </c>
      <c r="B395" t="s">
        <v>982</v>
      </c>
      <c r="C395" t="s">
        <v>564</v>
      </c>
      <c r="D395" t="s">
        <v>70</v>
      </c>
      <c r="E395" t="s">
        <v>13</v>
      </c>
      <c r="F395">
        <v>9.0593502969999999</v>
      </c>
      <c r="G395">
        <v>76.76600397</v>
      </c>
      <c r="H395">
        <v>2</v>
      </c>
      <c r="I395" t="s">
        <v>14</v>
      </c>
      <c r="J395" t="s">
        <v>174</v>
      </c>
      <c r="K395">
        <f>IF(tbl_ChargingStation[[#This Row],[status]]="Operational",1,0)</f>
        <v>1</v>
      </c>
      <c r="L395">
        <f t="shared" si="12"/>
        <v>2</v>
      </c>
      <c r="M395" t="str">
        <f t="shared" si="13"/>
        <v>Kerala</v>
      </c>
    </row>
    <row r="396" spans="1:13">
      <c r="A396">
        <v>313538</v>
      </c>
      <c r="B396" t="s">
        <v>989</v>
      </c>
      <c r="C396" t="s">
        <v>338</v>
      </c>
      <c r="D396" t="s">
        <v>70</v>
      </c>
      <c r="E396" t="s">
        <v>13</v>
      </c>
      <c r="F396">
        <v>8.9269695240000004</v>
      </c>
      <c r="G396">
        <v>76.552803150000003</v>
      </c>
      <c r="H396">
        <v>2</v>
      </c>
      <c r="I396" t="s">
        <v>14</v>
      </c>
      <c r="J396" t="s">
        <v>174</v>
      </c>
      <c r="K396">
        <f>IF(tbl_ChargingStation[[#This Row],[status]]="Operational",1,0)</f>
        <v>1</v>
      </c>
      <c r="L396">
        <f t="shared" si="12"/>
        <v>2</v>
      </c>
      <c r="M396" t="str">
        <f t="shared" si="13"/>
        <v>Kerala</v>
      </c>
    </row>
    <row r="397" spans="1:13">
      <c r="A397">
        <v>313537</v>
      </c>
      <c r="B397" t="s">
        <v>990</v>
      </c>
      <c r="C397" t="s">
        <v>991</v>
      </c>
      <c r="D397" t="s">
        <v>70</v>
      </c>
      <c r="E397" t="s">
        <v>13</v>
      </c>
      <c r="F397">
        <v>8.8875774140000008</v>
      </c>
      <c r="G397">
        <v>76.588436610000002</v>
      </c>
      <c r="H397">
        <v>2</v>
      </c>
      <c r="I397" t="s">
        <v>14</v>
      </c>
      <c r="J397" t="s">
        <v>174</v>
      </c>
      <c r="K397">
        <f>IF(tbl_ChargingStation[[#This Row],[status]]="Operational",1,0)</f>
        <v>1</v>
      </c>
      <c r="L397">
        <f t="shared" si="12"/>
        <v>2</v>
      </c>
      <c r="M397" t="str">
        <f t="shared" si="13"/>
        <v>Kerala</v>
      </c>
    </row>
    <row r="398" spans="1:13">
      <c r="A398">
        <v>313534</v>
      </c>
      <c r="B398" t="s">
        <v>995</v>
      </c>
      <c r="C398" t="s">
        <v>564</v>
      </c>
      <c r="D398" t="s">
        <v>70</v>
      </c>
      <c r="E398" t="s">
        <v>13</v>
      </c>
      <c r="F398">
        <v>8.9356940349999991</v>
      </c>
      <c r="G398">
        <v>76.851049209999999</v>
      </c>
      <c r="H398">
        <v>2</v>
      </c>
      <c r="I398" t="s">
        <v>14</v>
      </c>
      <c r="J398" t="s">
        <v>174</v>
      </c>
      <c r="K398">
        <f>IF(tbl_ChargingStation[[#This Row],[status]]="Operational",1,0)</f>
        <v>1</v>
      </c>
      <c r="L398">
        <f t="shared" si="12"/>
        <v>2</v>
      </c>
      <c r="M398" t="str">
        <f t="shared" si="13"/>
        <v>Kerala</v>
      </c>
    </row>
    <row r="399" spans="1:13">
      <c r="A399">
        <v>313507</v>
      </c>
      <c r="B399" t="s">
        <v>1019</v>
      </c>
      <c r="C399" t="s">
        <v>1020</v>
      </c>
      <c r="D399" t="s">
        <v>70</v>
      </c>
      <c r="E399" t="s">
        <v>13</v>
      </c>
      <c r="F399">
        <v>12.508914880000001</v>
      </c>
      <c r="G399">
        <v>75.04478426</v>
      </c>
      <c r="H399">
        <v>2</v>
      </c>
      <c r="I399" t="s">
        <v>1021</v>
      </c>
      <c r="J399" t="s">
        <v>139</v>
      </c>
      <c r="K399">
        <f>IF(tbl_ChargingStation[[#This Row],[status]]="Operational",1,0)</f>
        <v>0</v>
      </c>
      <c r="L399">
        <f t="shared" si="12"/>
        <v>0</v>
      </c>
      <c r="M399" t="str">
        <f t="shared" si="13"/>
        <v>Kerala</v>
      </c>
    </row>
    <row r="400" spans="1:13">
      <c r="A400">
        <v>313506</v>
      </c>
      <c r="B400" t="s">
        <v>1022</v>
      </c>
      <c r="C400" t="s">
        <v>197</v>
      </c>
      <c r="D400" t="s">
        <v>70</v>
      </c>
      <c r="E400" t="s">
        <v>13</v>
      </c>
      <c r="F400">
        <v>11.382827239999999</v>
      </c>
      <c r="G400">
        <v>75.735936499999994</v>
      </c>
      <c r="H400">
        <v>2</v>
      </c>
      <c r="I400" t="s">
        <v>14</v>
      </c>
      <c r="J400" t="s">
        <v>174</v>
      </c>
      <c r="K400">
        <f>IF(tbl_ChargingStation[[#This Row],[status]]="Operational",1,0)</f>
        <v>1</v>
      </c>
      <c r="L400">
        <f t="shared" si="12"/>
        <v>2</v>
      </c>
      <c r="M400" t="str">
        <f t="shared" si="13"/>
        <v>Kerala</v>
      </c>
    </row>
    <row r="401" spans="1:13">
      <c r="A401">
        <v>313505</v>
      </c>
      <c r="B401" t="s">
        <v>1023</v>
      </c>
      <c r="C401" t="s">
        <v>197</v>
      </c>
      <c r="D401" t="s">
        <v>70</v>
      </c>
      <c r="E401" t="s">
        <v>13</v>
      </c>
      <c r="F401">
        <v>11.282498950000001</v>
      </c>
      <c r="G401">
        <v>75.769599499999998</v>
      </c>
      <c r="H401">
        <v>2</v>
      </c>
      <c r="I401" t="s">
        <v>14</v>
      </c>
      <c r="J401" t="s">
        <v>174</v>
      </c>
      <c r="K401">
        <f>IF(tbl_ChargingStation[[#This Row],[status]]="Operational",1,0)</f>
        <v>1</v>
      </c>
      <c r="L401">
        <f t="shared" si="12"/>
        <v>2</v>
      </c>
      <c r="M401" t="str">
        <f t="shared" si="13"/>
        <v>Kerala</v>
      </c>
    </row>
    <row r="402" spans="1:13">
      <c r="A402">
        <v>313504</v>
      </c>
      <c r="B402" t="s">
        <v>1024</v>
      </c>
      <c r="C402" t="s">
        <v>197</v>
      </c>
      <c r="D402" t="s">
        <v>70</v>
      </c>
      <c r="E402" t="s">
        <v>13</v>
      </c>
      <c r="F402">
        <v>11.279978310000001</v>
      </c>
      <c r="G402">
        <v>75.770480599999999</v>
      </c>
      <c r="H402">
        <v>2</v>
      </c>
      <c r="I402" t="s">
        <v>1021</v>
      </c>
      <c r="J402" t="s">
        <v>139</v>
      </c>
      <c r="K402">
        <f>IF(tbl_ChargingStation[[#This Row],[status]]="Operational",1,0)</f>
        <v>0</v>
      </c>
      <c r="L402">
        <f t="shared" si="12"/>
        <v>0</v>
      </c>
      <c r="M402" t="str">
        <f t="shared" si="13"/>
        <v>Kerala</v>
      </c>
    </row>
    <row r="403" spans="1:13">
      <c r="A403">
        <v>313503</v>
      </c>
      <c r="B403" t="s">
        <v>1025</v>
      </c>
      <c r="C403" t="s">
        <v>264</v>
      </c>
      <c r="D403" t="s">
        <v>70</v>
      </c>
      <c r="E403" t="s">
        <v>13</v>
      </c>
      <c r="F403">
        <v>10.790476610000001</v>
      </c>
      <c r="G403">
        <v>76.651119390000005</v>
      </c>
      <c r="H403">
        <v>2</v>
      </c>
      <c r="I403" t="s">
        <v>14</v>
      </c>
      <c r="J403" t="s">
        <v>139</v>
      </c>
      <c r="K403">
        <f>IF(tbl_ChargingStation[[#This Row],[status]]="Operational",1,0)</f>
        <v>1</v>
      </c>
      <c r="L403">
        <f t="shared" si="12"/>
        <v>2</v>
      </c>
      <c r="M403" t="str">
        <f t="shared" si="13"/>
        <v>Kerala</v>
      </c>
    </row>
    <row r="404" spans="1:13">
      <c r="A404">
        <v>313502</v>
      </c>
      <c r="B404" t="s">
        <v>1023</v>
      </c>
      <c r="C404" t="s">
        <v>169</v>
      </c>
      <c r="D404" t="s">
        <v>70</v>
      </c>
      <c r="E404" t="s">
        <v>13</v>
      </c>
      <c r="F404">
        <v>10.47104712</v>
      </c>
      <c r="G404">
        <v>76.257459030000007</v>
      </c>
      <c r="H404">
        <v>2</v>
      </c>
      <c r="I404" t="s">
        <v>14</v>
      </c>
      <c r="J404" t="s">
        <v>174</v>
      </c>
      <c r="K404">
        <f>IF(tbl_ChargingStation[[#This Row],[status]]="Operational",1,0)</f>
        <v>1</v>
      </c>
      <c r="L404">
        <f t="shared" si="12"/>
        <v>2</v>
      </c>
      <c r="M404" t="str">
        <f t="shared" si="13"/>
        <v>Kerala</v>
      </c>
    </row>
    <row r="405" spans="1:13">
      <c r="A405">
        <v>313501</v>
      </c>
      <c r="B405" t="s">
        <v>1026</v>
      </c>
      <c r="C405" t="s">
        <v>183</v>
      </c>
      <c r="D405" t="s">
        <v>70</v>
      </c>
      <c r="E405" t="s">
        <v>13</v>
      </c>
      <c r="F405">
        <v>10.02982815</v>
      </c>
      <c r="G405">
        <v>76.30813431</v>
      </c>
      <c r="H405">
        <v>2</v>
      </c>
      <c r="I405" t="s">
        <v>1021</v>
      </c>
      <c r="J405" t="s">
        <v>139</v>
      </c>
      <c r="K405">
        <f>IF(tbl_ChargingStation[[#This Row],[status]]="Operational",1,0)</f>
        <v>0</v>
      </c>
      <c r="L405">
        <f t="shared" si="12"/>
        <v>0</v>
      </c>
      <c r="M405" t="str">
        <f t="shared" si="13"/>
        <v>Kerala</v>
      </c>
    </row>
    <row r="406" spans="1:13">
      <c r="A406">
        <v>313500</v>
      </c>
      <c r="B406" t="s">
        <v>1027</v>
      </c>
      <c r="C406" t="s">
        <v>631</v>
      </c>
      <c r="D406" t="s">
        <v>70</v>
      </c>
      <c r="E406" t="s">
        <v>13</v>
      </c>
      <c r="F406">
        <v>9.9338631769999992</v>
      </c>
      <c r="G406">
        <v>76.316874060000004</v>
      </c>
      <c r="H406">
        <v>2</v>
      </c>
      <c r="I406" t="s">
        <v>1021</v>
      </c>
      <c r="J406" t="s">
        <v>139</v>
      </c>
      <c r="K406">
        <f>IF(tbl_ChargingStation[[#This Row],[status]]="Operational",1,0)</f>
        <v>0</v>
      </c>
      <c r="L406">
        <f t="shared" si="12"/>
        <v>0</v>
      </c>
      <c r="M406" t="str">
        <f t="shared" si="13"/>
        <v>Kerala</v>
      </c>
    </row>
    <row r="407" spans="1:13">
      <c r="A407">
        <v>313499</v>
      </c>
      <c r="B407" t="s">
        <v>1028</v>
      </c>
      <c r="C407" t="s">
        <v>631</v>
      </c>
      <c r="D407" t="s">
        <v>70</v>
      </c>
      <c r="E407" t="s">
        <v>13</v>
      </c>
      <c r="F407">
        <v>9.9229902200000009</v>
      </c>
      <c r="G407">
        <v>76.317689250000001</v>
      </c>
      <c r="H407">
        <v>2</v>
      </c>
      <c r="I407" t="s">
        <v>14</v>
      </c>
      <c r="J407" t="s">
        <v>174</v>
      </c>
      <c r="K407">
        <f>IF(tbl_ChargingStation[[#This Row],[status]]="Operational",1,0)</f>
        <v>1</v>
      </c>
      <c r="L407">
        <f t="shared" si="12"/>
        <v>2</v>
      </c>
      <c r="M407" t="str">
        <f t="shared" si="13"/>
        <v>Kerala</v>
      </c>
    </row>
    <row r="408" spans="1:13">
      <c r="A408">
        <v>313496</v>
      </c>
      <c r="B408" t="s">
        <v>1031</v>
      </c>
      <c r="C408" t="s">
        <v>614</v>
      </c>
      <c r="D408" t="s">
        <v>70</v>
      </c>
      <c r="E408" t="s">
        <v>13</v>
      </c>
      <c r="F408">
        <v>9.6616883060000003</v>
      </c>
      <c r="G408">
        <v>76.551137460000007</v>
      </c>
      <c r="H408">
        <v>2</v>
      </c>
      <c r="I408" t="s">
        <v>14</v>
      </c>
      <c r="J408" t="s">
        <v>174</v>
      </c>
      <c r="K408">
        <f>IF(tbl_ChargingStation[[#This Row],[status]]="Operational",1,0)</f>
        <v>1</v>
      </c>
      <c r="L408">
        <f t="shared" si="12"/>
        <v>2</v>
      </c>
      <c r="M408" t="str">
        <f t="shared" si="13"/>
        <v>Kerala</v>
      </c>
    </row>
    <row r="409" spans="1:13">
      <c r="A409">
        <v>313495</v>
      </c>
      <c r="B409" t="s">
        <v>1032</v>
      </c>
      <c r="C409" t="s">
        <v>585</v>
      </c>
      <c r="D409" t="s">
        <v>70</v>
      </c>
      <c r="E409" t="s">
        <v>13</v>
      </c>
      <c r="F409">
        <v>9.2777449250000004</v>
      </c>
      <c r="G409">
        <v>76.754683110000002</v>
      </c>
      <c r="H409">
        <v>2</v>
      </c>
      <c r="I409" t="s">
        <v>14</v>
      </c>
      <c r="J409" t="s">
        <v>139</v>
      </c>
      <c r="K409">
        <f>IF(tbl_ChargingStation[[#This Row],[status]]="Operational",1,0)</f>
        <v>1</v>
      </c>
      <c r="L409">
        <f t="shared" si="12"/>
        <v>2</v>
      </c>
      <c r="M409" t="str">
        <f t="shared" si="13"/>
        <v>Kerala</v>
      </c>
    </row>
    <row r="410" spans="1:13">
      <c r="A410">
        <v>313494</v>
      </c>
      <c r="B410" t="s">
        <v>1033</v>
      </c>
      <c r="C410" t="s">
        <v>577</v>
      </c>
      <c r="D410" t="s">
        <v>70</v>
      </c>
      <c r="E410" t="s">
        <v>13</v>
      </c>
      <c r="F410">
        <v>9.1699623890000002</v>
      </c>
      <c r="G410">
        <v>76.498087920000003</v>
      </c>
      <c r="H410">
        <v>2</v>
      </c>
      <c r="I410" t="s">
        <v>14</v>
      </c>
      <c r="J410" t="s">
        <v>139</v>
      </c>
      <c r="K410">
        <f>IF(tbl_ChargingStation[[#This Row],[status]]="Operational",1,0)</f>
        <v>1</v>
      </c>
      <c r="L410">
        <f t="shared" si="12"/>
        <v>2</v>
      </c>
      <c r="M410" t="str">
        <f t="shared" si="13"/>
        <v>Kerala</v>
      </c>
    </row>
    <row r="411" spans="1:13">
      <c r="A411">
        <v>313493</v>
      </c>
      <c r="B411" t="s">
        <v>1034</v>
      </c>
      <c r="C411" t="s">
        <v>328</v>
      </c>
      <c r="D411" t="s">
        <v>70</v>
      </c>
      <c r="E411" t="s">
        <v>13</v>
      </c>
      <c r="F411">
        <v>9.0523550420000003</v>
      </c>
      <c r="G411">
        <v>76.535460810000004</v>
      </c>
      <c r="H411">
        <v>2</v>
      </c>
      <c r="I411" t="s">
        <v>14</v>
      </c>
      <c r="J411" t="s">
        <v>139</v>
      </c>
      <c r="K411">
        <f>IF(tbl_ChargingStation[[#This Row],[status]]="Operational",1,0)</f>
        <v>1</v>
      </c>
      <c r="L411">
        <f t="shared" si="12"/>
        <v>2</v>
      </c>
      <c r="M411" t="str">
        <f t="shared" si="13"/>
        <v>Kerala</v>
      </c>
    </row>
    <row r="412" spans="1:13">
      <c r="A412">
        <v>313492</v>
      </c>
      <c r="B412" t="s">
        <v>1035</v>
      </c>
      <c r="C412" t="s">
        <v>328</v>
      </c>
      <c r="D412" t="s">
        <v>70</v>
      </c>
      <c r="E412" t="s">
        <v>13</v>
      </c>
      <c r="F412">
        <v>9.0460530089999995</v>
      </c>
      <c r="G412">
        <v>76.536630779999996</v>
      </c>
      <c r="H412">
        <v>2</v>
      </c>
      <c r="I412" t="s">
        <v>14</v>
      </c>
      <c r="J412" t="s">
        <v>139</v>
      </c>
      <c r="K412">
        <f>IF(tbl_ChargingStation[[#This Row],[status]]="Operational",1,0)</f>
        <v>1</v>
      </c>
      <c r="L412">
        <f t="shared" si="12"/>
        <v>2</v>
      </c>
      <c r="M412" t="str">
        <f t="shared" si="13"/>
        <v>Kerala</v>
      </c>
    </row>
    <row r="413" spans="1:13">
      <c r="A413">
        <v>313490</v>
      </c>
      <c r="B413" t="s">
        <v>1037</v>
      </c>
      <c r="C413" t="s">
        <v>338</v>
      </c>
      <c r="D413" t="s">
        <v>70</v>
      </c>
      <c r="E413" t="s">
        <v>13</v>
      </c>
      <c r="F413">
        <v>8.9111048620000002</v>
      </c>
      <c r="G413">
        <v>76.627353159999998</v>
      </c>
      <c r="H413">
        <v>2</v>
      </c>
      <c r="I413" t="s">
        <v>1021</v>
      </c>
      <c r="J413" t="s">
        <v>139</v>
      </c>
      <c r="K413">
        <f>IF(tbl_ChargingStation[[#This Row],[status]]="Operational",1,0)</f>
        <v>0</v>
      </c>
      <c r="L413">
        <f t="shared" si="12"/>
        <v>0</v>
      </c>
      <c r="M413" t="str">
        <f t="shared" si="13"/>
        <v>Kerala</v>
      </c>
    </row>
    <row r="414" spans="1:13">
      <c r="A414">
        <v>313488</v>
      </c>
      <c r="B414" t="s">
        <v>1039</v>
      </c>
      <c r="C414" t="s">
        <v>187</v>
      </c>
      <c r="D414" t="s">
        <v>70</v>
      </c>
      <c r="E414" t="s">
        <v>13</v>
      </c>
      <c r="F414">
        <v>8.5357062080000006</v>
      </c>
      <c r="G414">
        <v>76.965262039999999</v>
      </c>
      <c r="H414">
        <v>2</v>
      </c>
      <c r="I414" t="s">
        <v>14</v>
      </c>
      <c r="J414" t="s">
        <v>174</v>
      </c>
      <c r="K414">
        <f>IF(tbl_ChargingStation[[#This Row],[status]]="Operational",1,0)</f>
        <v>1</v>
      </c>
      <c r="L414">
        <f t="shared" si="12"/>
        <v>2</v>
      </c>
      <c r="M414" t="str">
        <f t="shared" si="13"/>
        <v>Kerala</v>
      </c>
    </row>
    <row r="415" spans="1:13">
      <c r="A415">
        <v>313471</v>
      </c>
      <c r="B415" t="s">
        <v>1044</v>
      </c>
      <c r="C415" t="s">
        <v>1045</v>
      </c>
      <c r="D415" t="s">
        <v>70</v>
      </c>
      <c r="E415" t="s">
        <v>13</v>
      </c>
      <c r="F415">
        <v>11.74512339</v>
      </c>
      <c r="G415">
        <v>75.495419170000005</v>
      </c>
      <c r="H415">
        <v>2</v>
      </c>
      <c r="I415" t="s">
        <v>14</v>
      </c>
      <c r="J415" t="s">
        <v>198</v>
      </c>
      <c r="K415">
        <f>IF(tbl_ChargingStation[[#This Row],[status]]="Operational",1,0)</f>
        <v>1</v>
      </c>
      <c r="L415">
        <f t="shared" si="12"/>
        <v>2</v>
      </c>
      <c r="M415" t="str">
        <f t="shared" si="13"/>
        <v>Kerala</v>
      </c>
    </row>
    <row r="416" spans="1:13">
      <c r="A416">
        <v>313461</v>
      </c>
      <c r="B416" t="s">
        <v>1049</v>
      </c>
      <c r="C416" t="s">
        <v>790</v>
      </c>
      <c r="D416" t="s">
        <v>70</v>
      </c>
      <c r="E416" t="s">
        <v>13</v>
      </c>
      <c r="F416">
        <v>10.995739410000001</v>
      </c>
      <c r="G416">
        <v>75.992109940000006</v>
      </c>
      <c r="H416">
        <v>2</v>
      </c>
      <c r="I416" t="s">
        <v>14</v>
      </c>
      <c r="J416" t="s">
        <v>198</v>
      </c>
      <c r="K416">
        <f>IF(tbl_ChargingStation[[#This Row],[status]]="Operational",1,0)</f>
        <v>1</v>
      </c>
      <c r="L416">
        <f t="shared" si="12"/>
        <v>2</v>
      </c>
      <c r="M416" t="str">
        <f t="shared" si="13"/>
        <v>Kerala</v>
      </c>
    </row>
    <row r="417" spans="1:13">
      <c r="A417">
        <v>313459</v>
      </c>
      <c r="B417" t="s">
        <v>1053</v>
      </c>
      <c r="C417" t="s">
        <v>1054</v>
      </c>
      <c r="D417" t="s">
        <v>70</v>
      </c>
      <c r="E417" t="s">
        <v>13</v>
      </c>
      <c r="F417">
        <v>10.90772625</v>
      </c>
      <c r="G417">
        <v>75.920325680000005</v>
      </c>
      <c r="H417">
        <v>2</v>
      </c>
      <c r="I417" t="s">
        <v>14</v>
      </c>
      <c r="J417" t="s">
        <v>198</v>
      </c>
      <c r="K417">
        <f>IF(tbl_ChargingStation[[#This Row],[status]]="Operational",1,0)</f>
        <v>1</v>
      </c>
      <c r="L417">
        <f t="shared" si="12"/>
        <v>2</v>
      </c>
      <c r="M417" t="str">
        <f t="shared" si="13"/>
        <v>Kerala</v>
      </c>
    </row>
    <row r="418" spans="1:13">
      <c r="A418">
        <v>313455</v>
      </c>
      <c r="B418" t="s">
        <v>1058</v>
      </c>
      <c r="C418" t="s">
        <v>169</v>
      </c>
      <c r="D418" t="s">
        <v>70</v>
      </c>
      <c r="E418" t="s">
        <v>13</v>
      </c>
      <c r="F418">
        <v>10.539926250000001</v>
      </c>
      <c r="G418">
        <v>76.192887580000004</v>
      </c>
      <c r="H418">
        <v>2</v>
      </c>
      <c r="I418" t="s">
        <v>14</v>
      </c>
      <c r="J418" t="s">
        <v>198</v>
      </c>
      <c r="K418">
        <f>IF(tbl_ChargingStation[[#This Row],[status]]="Operational",1,0)</f>
        <v>1</v>
      </c>
      <c r="L418">
        <f t="shared" si="12"/>
        <v>2</v>
      </c>
      <c r="M418" t="str">
        <f t="shared" si="13"/>
        <v>Kerala</v>
      </c>
    </row>
    <row r="419" spans="1:13">
      <c r="A419">
        <v>313453</v>
      </c>
      <c r="B419" t="s">
        <v>1061</v>
      </c>
      <c r="C419" t="s">
        <v>169</v>
      </c>
      <c r="D419" t="s">
        <v>70</v>
      </c>
      <c r="E419" t="s">
        <v>13</v>
      </c>
      <c r="F419">
        <v>10.5127597</v>
      </c>
      <c r="G419">
        <v>76.258916749999997</v>
      </c>
      <c r="H419">
        <v>2</v>
      </c>
      <c r="I419" t="s">
        <v>14</v>
      </c>
      <c r="J419" t="s">
        <v>198</v>
      </c>
      <c r="K419">
        <f>IF(tbl_ChargingStation[[#This Row],[status]]="Operational",1,0)</f>
        <v>1</v>
      </c>
      <c r="L419">
        <f t="shared" si="12"/>
        <v>2</v>
      </c>
      <c r="M419" t="str">
        <f t="shared" si="13"/>
        <v>Kerala</v>
      </c>
    </row>
    <row r="420" spans="1:13">
      <c r="A420">
        <v>313451</v>
      </c>
      <c r="B420" t="s">
        <v>1063</v>
      </c>
      <c r="C420" t="s">
        <v>105</v>
      </c>
      <c r="D420" t="s">
        <v>70</v>
      </c>
      <c r="E420" t="s">
        <v>13</v>
      </c>
      <c r="F420">
        <v>10.231319020000001</v>
      </c>
      <c r="G420">
        <v>76.197243099999994</v>
      </c>
      <c r="H420">
        <v>2</v>
      </c>
      <c r="I420" t="s">
        <v>14</v>
      </c>
      <c r="J420" t="s">
        <v>198</v>
      </c>
      <c r="K420">
        <f>IF(tbl_ChargingStation[[#This Row],[status]]="Operational",1,0)</f>
        <v>1</v>
      </c>
      <c r="L420">
        <f t="shared" si="12"/>
        <v>2</v>
      </c>
      <c r="M420" t="str">
        <f t="shared" si="13"/>
        <v>Kerala</v>
      </c>
    </row>
    <row r="421" spans="1:13">
      <c r="A421">
        <v>313449</v>
      </c>
      <c r="B421" t="s">
        <v>1065</v>
      </c>
      <c r="C421" t="s">
        <v>1066</v>
      </c>
      <c r="D421" t="s">
        <v>70</v>
      </c>
      <c r="E421" t="s">
        <v>13</v>
      </c>
      <c r="F421">
        <v>10.137093999999999</v>
      </c>
      <c r="G421">
        <v>76.180289529999996</v>
      </c>
      <c r="H421">
        <v>2</v>
      </c>
      <c r="I421" t="s">
        <v>14</v>
      </c>
      <c r="J421" t="s">
        <v>198</v>
      </c>
      <c r="K421">
        <f>IF(tbl_ChargingStation[[#This Row],[status]]="Operational",1,0)</f>
        <v>1</v>
      </c>
      <c r="L421">
        <f t="shared" si="12"/>
        <v>2</v>
      </c>
      <c r="M421" t="str">
        <f t="shared" si="13"/>
        <v>Kerala</v>
      </c>
    </row>
    <row r="422" spans="1:13">
      <c r="A422">
        <v>313443</v>
      </c>
      <c r="B422" t="s">
        <v>1073</v>
      </c>
      <c r="C422" t="s">
        <v>911</v>
      </c>
      <c r="D422" t="s">
        <v>70</v>
      </c>
      <c r="E422" t="s">
        <v>13</v>
      </c>
      <c r="F422">
        <v>9.9817705659999998</v>
      </c>
      <c r="G422">
        <v>76.578304230000001</v>
      </c>
      <c r="H422">
        <v>2</v>
      </c>
      <c r="I422" t="s">
        <v>14</v>
      </c>
      <c r="J422" t="s">
        <v>198</v>
      </c>
      <c r="K422">
        <f>IF(tbl_ChargingStation[[#This Row],[status]]="Operational",1,0)</f>
        <v>1</v>
      </c>
      <c r="L422">
        <f t="shared" si="12"/>
        <v>2</v>
      </c>
      <c r="M422" t="str">
        <f t="shared" si="13"/>
        <v>Kerala</v>
      </c>
    </row>
    <row r="423" spans="1:13">
      <c r="A423">
        <v>313441</v>
      </c>
      <c r="B423" t="s">
        <v>1075</v>
      </c>
      <c r="C423" t="s">
        <v>1076</v>
      </c>
      <c r="D423" t="s">
        <v>70</v>
      </c>
      <c r="E423" t="s">
        <v>13</v>
      </c>
      <c r="F423">
        <v>9.8597511040000008</v>
      </c>
      <c r="G423">
        <v>76.335824169999995</v>
      </c>
      <c r="H423">
        <v>2</v>
      </c>
      <c r="I423" t="s">
        <v>14</v>
      </c>
      <c r="J423" t="s">
        <v>198</v>
      </c>
      <c r="K423">
        <f>IF(tbl_ChargingStation[[#This Row],[status]]="Operational",1,0)</f>
        <v>1</v>
      </c>
      <c r="L423">
        <f t="shared" si="12"/>
        <v>2</v>
      </c>
      <c r="M423" t="str">
        <f t="shared" si="13"/>
        <v>Kerala</v>
      </c>
    </row>
    <row r="424" spans="1:13">
      <c r="A424">
        <v>313439</v>
      </c>
      <c r="B424" t="s">
        <v>1079</v>
      </c>
      <c r="C424" t="s">
        <v>617</v>
      </c>
      <c r="D424" t="s">
        <v>70</v>
      </c>
      <c r="E424" t="s">
        <v>13</v>
      </c>
      <c r="F424">
        <v>9.5187138830000002</v>
      </c>
      <c r="G424">
        <v>76.327485150000001</v>
      </c>
      <c r="H424">
        <v>2</v>
      </c>
      <c r="I424" t="s">
        <v>14</v>
      </c>
      <c r="J424" t="s">
        <v>198</v>
      </c>
      <c r="K424">
        <f>IF(tbl_ChargingStation[[#This Row],[status]]="Operational",1,0)</f>
        <v>1</v>
      </c>
      <c r="L424">
        <f t="shared" si="12"/>
        <v>2</v>
      </c>
      <c r="M424" t="str">
        <f t="shared" si="13"/>
        <v>Kerala</v>
      </c>
    </row>
    <row r="425" spans="1:13">
      <c r="A425">
        <v>479727</v>
      </c>
      <c r="B425" t="s">
        <v>10</v>
      </c>
      <c r="C425" t="s">
        <v>11</v>
      </c>
      <c r="D425" t="s">
        <v>12</v>
      </c>
      <c r="E425" t="s">
        <v>13</v>
      </c>
      <c r="F425">
        <v>18.7171819</v>
      </c>
      <c r="G425">
        <v>74.182920879999998</v>
      </c>
      <c r="H425">
        <v>1</v>
      </c>
      <c r="I425" t="s">
        <v>14</v>
      </c>
      <c r="J425" t="s">
        <v>12</v>
      </c>
      <c r="K425">
        <f>IF(tbl_ChargingStation[[#This Row],[status]]="Operational",1,0)</f>
        <v>1</v>
      </c>
      <c r="L425">
        <f t="shared" si="12"/>
        <v>1</v>
      </c>
      <c r="M425" t="str">
        <f t="shared" si="13"/>
        <v>Unknown</v>
      </c>
    </row>
    <row r="426" spans="1:13">
      <c r="A426">
        <v>479445</v>
      </c>
      <c r="B426" t="s">
        <v>15</v>
      </c>
      <c r="C426" t="s">
        <v>16</v>
      </c>
      <c r="D426" t="s">
        <v>17</v>
      </c>
      <c r="E426" t="s">
        <v>13</v>
      </c>
      <c r="F426">
        <v>17.340475789999999</v>
      </c>
      <c r="G426">
        <v>78.545395499999998</v>
      </c>
      <c r="H426">
        <v>1</v>
      </c>
      <c r="I426" t="s">
        <v>14</v>
      </c>
      <c r="J426" t="s">
        <v>18</v>
      </c>
      <c r="K426">
        <f>IF(tbl_ChargingStation[[#This Row],[status]]="Operational",1,0)</f>
        <v>1</v>
      </c>
      <c r="L426">
        <f t="shared" si="12"/>
        <v>1</v>
      </c>
      <c r="M426" t="str">
        <f t="shared" si="13"/>
        <v>Telangana</v>
      </c>
    </row>
    <row r="427" spans="1:13">
      <c r="A427">
        <v>479438</v>
      </c>
      <c r="B427" t="s">
        <v>19</v>
      </c>
      <c r="C427" t="s">
        <v>12</v>
      </c>
      <c r="D427" t="s">
        <v>20</v>
      </c>
      <c r="E427" t="s">
        <v>13</v>
      </c>
      <c r="F427">
        <v>22.286960799999999</v>
      </c>
      <c r="G427">
        <v>86.790983299999994</v>
      </c>
      <c r="H427">
        <v>1</v>
      </c>
      <c r="I427" t="s">
        <v>14</v>
      </c>
      <c r="J427" t="s">
        <v>12</v>
      </c>
      <c r="K427">
        <f>IF(tbl_ChargingStation[[#This Row],[status]]="Operational",1,0)</f>
        <v>1</v>
      </c>
      <c r="L427">
        <f t="shared" si="12"/>
        <v>1</v>
      </c>
      <c r="M427" t="str">
        <f t="shared" si="13"/>
        <v>Odisha</v>
      </c>
    </row>
    <row r="428" spans="1:13">
      <c r="A428">
        <v>479436</v>
      </c>
      <c r="B428" t="s">
        <v>22</v>
      </c>
      <c r="C428" t="s">
        <v>12</v>
      </c>
      <c r="D428" t="s">
        <v>20</v>
      </c>
      <c r="E428" t="s">
        <v>13</v>
      </c>
      <c r="F428">
        <v>22.4498584</v>
      </c>
      <c r="G428">
        <v>86.595041100000003</v>
      </c>
      <c r="H428">
        <v>1</v>
      </c>
      <c r="I428" t="s">
        <v>14</v>
      </c>
      <c r="J428" t="s">
        <v>12</v>
      </c>
      <c r="K428">
        <f>IF(tbl_ChargingStation[[#This Row],[status]]="Operational",1,0)</f>
        <v>1</v>
      </c>
      <c r="L428">
        <f t="shared" si="12"/>
        <v>1</v>
      </c>
      <c r="M428" t="str">
        <f t="shared" si="13"/>
        <v>Odisha</v>
      </c>
    </row>
    <row r="429" spans="1:13">
      <c r="A429">
        <v>479435</v>
      </c>
      <c r="B429" t="s">
        <v>23</v>
      </c>
      <c r="C429" t="s">
        <v>12</v>
      </c>
      <c r="D429" t="s">
        <v>20</v>
      </c>
      <c r="E429" t="s">
        <v>13</v>
      </c>
      <c r="F429">
        <v>22.140250000000002</v>
      </c>
      <c r="G429">
        <v>85.712649999999996</v>
      </c>
      <c r="H429">
        <v>1</v>
      </c>
      <c r="I429" t="s">
        <v>14</v>
      </c>
      <c r="J429" t="s">
        <v>12</v>
      </c>
      <c r="K429">
        <f>IF(tbl_ChargingStation[[#This Row],[status]]="Operational",1,0)</f>
        <v>1</v>
      </c>
      <c r="L429">
        <f t="shared" si="12"/>
        <v>1</v>
      </c>
      <c r="M429" t="str">
        <f t="shared" si="13"/>
        <v>Odisha</v>
      </c>
    </row>
    <row r="430" spans="1:13">
      <c r="A430">
        <v>479434</v>
      </c>
      <c r="B430" t="s">
        <v>23</v>
      </c>
      <c r="C430" t="s">
        <v>12</v>
      </c>
      <c r="D430" t="s">
        <v>20</v>
      </c>
      <c r="E430" t="s">
        <v>13</v>
      </c>
      <c r="F430">
        <v>22.0015401</v>
      </c>
      <c r="G430">
        <v>85.327980100000005</v>
      </c>
      <c r="H430">
        <v>1</v>
      </c>
      <c r="I430" t="s">
        <v>14</v>
      </c>
      <c r="J430" t="s">
        <v>12</v>
      </c>
      <c r="K430">
        <f>IF(tbl_ChargingStation[[#This Row],[status]]="Operational",1,0)</f>
        <v>1</v>
      </c>
      <c r="L430">
        <f t="shared" si="12"/>
        <v>1</v>
      </c>
      <c r="M430" t="str">
        <f t="shared" si="13"/>
        <v>Odisha</v>
      </c>
    </row>
    <row r="431" spans="1:13">
      <c r="A431">
        <v>479432</v>
      </c>
      <c r="B431" t="s">
        <v>24</v>
      </c>
      <c r="C431" t="s">
        <v>12</v>
      </c>
      <c r="D431" t="s">
        <v>20</v>
      </c>
      <c r="E431" t="s">
        <v>13</v>
      </c>
      <c r="F431">
        <v>22.236660000000001</v>
      </c>
      <c r="G431">
        <v>84.770150000000001</v>
      </c>
      <c r="H431">
        <v>1</v>
      </c>
      <c r="I431" t="s">
        <v>14</v>
      </c>
      <c r="J431" t="s">
        <v>12</v>
      </c>
      <c r="K431">
        <f>IF(tbl_ChargingStation[[#This Row],[status]]="Operational",1,0)</f>
        <v>1</v>
      </c>
      <c r="L431">
        <f t="shared" si="12"/>
        <v>1</v>
      </c>
      <c r="M431" t="str">
        <f t="shared" si="13"/>
        <v>Odisha</v>
      </c>
    </row>
    <row r="432" spans="1:13">
      <c r="A432">
        <v>479431</v>
      </c>
      <c r="B432" t="s">
        <v>24</v>
      </c>
      <c r="C432" t="s">
        <v>12</v>
      </c>
      <c r="D432" t="s">
        <v>20</v>
      </c>
      <c r="E432" t="s">
        <v>13</v>
      </c>
      <c r="F432">
        <v>22.226704600000001</v>
      </c>
      <c r="G432">
        <v>84.864116499999994</v>
      </c>
      <c r="H432">
        <v>1</v>
      </c>
      <c r="I432" t="s">
        <v>14</v>
      </c>
      <c r="J432" t="s">
        <v>12</v>
      </c>
      <c r="K432">
        <f>IF(tbl_ChargingStation[[#This Row],[status]]="Operational",1,0)</f>
        <v>1</v>
      </c>
      <c r="L432">
        <f t="shared" si="12"/>
        <v>1</v>
      </c>
      <c r="M432" t="str">
        <f t="shared" si="13"/>
        <v>Odisha</v>
      </c>
    </row>
    <row r="433" spans="1:13">
      <c r="A433">
        <v>479430</v>
      </c>
      <c r="B433" t="s">
        <v>19</v>
      </c>
      <c r="C433" t="s">
        <v>12</v>
      </c>
      <c r="D433" t="s">
        <v>20</v>
      </c>
      <c r="E433" t="s">
        <v>13</v>
      </c>
      <c r="F433">
        <v>22.226809899999999</v>
      </c>
      <c r="G433">
        <v>84.796036400000006</v>
      </c>
      <c r="H433">
        <v>1</v>
      </c>
      <c r="I433" t="s">
        <v>14</v>
      </c>
      <c r="J433" t="s">
        <v>12</v>
      </c>
      <c r="K433">
        <f>IF(tbl_ChargingStation[[#This Row],[status]]="Operational",1,0)</f>
        <v>1</v>
      </c>
      <c r="L433">
        <f t="shared" si="12"/>
        <v>1</v>
      </c>
      <c r="M433" t="str">
        <f t="shared" si="13"/>
        <v>Odisha</v>
      </c>
    </row>
    <row r="434" spans="1:13">
      <c r="A434">
        <v>479428</v>
      </c>
      <c r="B434" t="s">
        <v>26</v>
      </c>
      <c r="C434" t="s">
        <v>12</v>
      </c>
      <c r="D434" t="s">
        <v>20</v>
      </c>
      <c r="E434" t="s">
        <v>13</v>
      </c>
      <c r="F434">
        <v>22.1040381</v>
      </c>
      <c r="G434">
        <v>84.037543200000002</v>
      </c>
      <c r="H434">
        <v>1</v>
      </c>
      <c r="I434" t="s">
        <v>14</v>
      </c>
      <c r="J434" t="s">
        <v>12</v>
      </c>
      <c r="K434">
        <f>IF(tbl_ChargingStation[[#This Row],[status]]="Operational",1,0)</f>
        <v>1</v>
      </c>
      <c r="L434">
        <f t="shared" si="12"/>
        <v>1</v>
      </c>
      <c r="M434" t="str">
        <f t="shared" si="13"/>
        <v>Odisha</v>
      </c>
    </row>
    <row r="435" spans="1:13">
      <c r="A435">
        <v>479427</v>
      </c>
      <c r="B435" t="s">
        <v>23</v>
      </c>
      <c r="C435" t="s">
        <v>12</v>
      </c>
      <c r="D435" t="s">
        <v>20</v>
      </c>
      <c r="E435" t="s">
        <v>13</v>
      </c>
      <c r="F435">
        <v>22.110037899999998</v>
      </c>
      <c r="G435">
        <v>83.995318900000001</v>
      </c>
      <c r="H435">
        <v>1</v>
      </c>
      <c r="I435" t="s">
        <v>14</v>
      </c>
      <c r="J435" t="s">
        <v>12</v>
      </c>
      <c r="K435">
        <f>IF(tbl_ChargingStation[[#This Row],[status]]="Operational",1,0)</f>
        <v>1</v>
      </c>
      <c r="L435">
        <f t="shared" si="12"/>
        <v>1</v>
      </c>
      <c r="M435" t="str">
        <f t="shared" si="13"/>
        <v>Odisha</v>
      </c>
    </row>
    <row r="436" spans="1:13">
      <c r="A436">
        <v>479426</v>
      </c>
      <c r="B436" t="s">
        <v>24</v>
      </c>
      <c r="C436" t="s">
        <v>12</v>
      </c>
      <c r="D436" t="s">
        <v>20</v>
      </c>
      <c r="E436" t="s">
        <v>13</v>
      </c>
      <c r="F436">
        <v>22.105083</v>
      </c>
      <c r="G436">
        <v>84.037895000000006</v>
      </c>
      <c r="H436">
        <v>1</v>
      </c>
      <c r="I436" t="s">
        <v>14</v>
      </c>
      <c r="J436" t="s">
        <v>12</v>
      </c>
      <c r="K436">
        <f>IF(tbl_ChargingStation[[#This Row],[status]]="Operational",1,0)</f>
        <v>1</v>
      </c>
      <c r="L436">
        <f t="shared" si="12"/>
        <v>1</v>
      </c>
      <c r="M436" t="str">
        <f t="shared" si="13"/>
        <v>Odisha</v>
      </c>
    </row>
    <row r="437" spans="1:13">
      <c r="A437">
        <v>479425</v>
      </c>
      <c r="B437" t="s">
        <v>19</v>
      </c>
      <c r="C437" t="s">
        <v>12</v>
      </c>
      <c r="D437" t="s">
        <v>20</v>
      </c>
      <c r="E437" t="s">
        <v>13</v>
      </c>
      <c r="F437">
        <v>21.762953</v>
      </c>
      <c r="G437">
        <v>87.010723999999996</v>
      </c>
      <c r="H437">
        <v>1</v>
      </c>
      <c r="I437" t="s">
        <v>14</v>
      </c>
      <c r="J437" t="s">
        <v>12</v>
      </c>
      <c r="K437">
        <f>IF(tbl_ChargingStation[[#This Row],[status]]="Operational",1,0)</f>
        <v>1</v>
      </c>
      <c r="L437">
        <f t="shared" si="12"/>
        <v>1</v>
      </c>
      <c r="M437" t="str">
        <f t="shared" si="13"/>
        <v>Odisha</v>
      </c>
    </row>
    <row r="438" spans="1:13">
      <c r="A438">
        <v>479424</v>
      </c>
      <c r="B438" t="s">
        <v>24</v>
      </c>
      <c r="C438" t="s">
        <v>12</v>
      </c>
      <c r="D438" t="s">
        <v>20</v>
      </c>
      <c r="E438" t="s">
        <v>13</v>
      </c>
      <c r="F438">
        <v>21.940045999999999</v>
      </c>
      <c r="G438">
        <v>86.744606000000005</v>
      </c>
      <c r="H438">
        <v>1</v>
      </c>
      <c r="I438" t="s">
        <v>14</v>
      </c>
      <c r="J438" t="s">
        <v>12</v>
      </c>
      <c r="K438">
        <f>IF(tbl_ChargingStation[[#This Row],[status]]="Operational",1,0)</f>
        <v>1</v>
      </c>
      <c r="L438">
        <f t="shared" si="12"/>
        <v>1</v>
      </c>
      <c r="M438" t="str">
        <f t="shared" si="13"/>
        <v>Odisha</v>
      </c>
    </row>
    <row r="439" spans="1:13">
      <c r="A439">
        <v>479423</v>
      </c>
      <c r="B439" t="s">
        <v>27</v>
      </c>
      <c r="C439" t="s">
        <v>12</v>
      </c>
      <c r="D439" t="s">
        <v>20</v>
      </c>
      <c r="E439" t="s">
        <v>13</v>
      </c>
      <c r="F439">
        <v>21.9265285</v>
      </c>
      <c r="G439">
        <v>86.731955499999998</v>
      </c>
      <c r="H439">
        <v>1</v>
      </c>
      <c r="I439" t="s">
        <v>14</v>
      </c>
      <c r="J439" t="s">
        <v>12</v>
      </c>
      <c r="K439">
        <f>IF(tbl_ChargingStation[[#This Row],[status]]="Operational",1,0)</f>
        <v>1</v>
      </c>
      <c r="L439">
        <f t="shared" si="12"/>
        <v>1</v>
      </c>
      <c r="M439" t="str">
        <f t="shared" si="13"/>
        <v>Odisha</v>
      </c>
    </row>
    <row r="440" spans="1:13">
      <c r="A440">
        <v>479422</v>
      </c>
      <c r="B440" t="s">
        <v>24</v>
      </c>
      <c r="C440" t="s">
        <v>12</v>
      </c>
      <c r="D440" t="s">
        <v>20</v>
      </c>
      <c r="E440" t="s">
        <v>13</v>
      </c>
      <c r="F440">
        <v>21.909101</v>
      </c>
      <c r="G440">
        <v>86.751334999999997</v>
      </c>
      <c r="H440">
        <v>1</v>
      </c>
      <c r="I440" t="s">
        <v>14</v>
      </c>
      <c r="J440" t="s">
        <v>12</v>
      </c>
      <c r="K440">
        <f>IF(tbl_ChargingStation[[#This Row],[status]]="Operational",1,0)</f>
        <v>1</v>
      </c>
      <c r="L440">
        <f t="shared" si="12"/>
        <v>1</v>
      </c>
      <c r="M440" t="str">
        <f t="shared" si="13"/>
        <v>Odisha</v>
      </c>
    </row>
    <row r="441" spans="1:13">
      <c r="A441">
        <v>479421</v>
      </c>
      <c r="B441" t="s">
        <v>28</v>
      </c>
      <c r="C441" t="s">
        <v>12</v>
      </c>
      <c r="D441" t="s">
        <v>20</v>
      </c>
      <c r="E441" t="s">
        <v>13</v>
      </c>
      <c r="F441">
        <v>21.8057616</v>
      </c>
      <c r="G441">
        <v>85.995167199999997</v>
      </c>
      <c r="H441">
        <v>1</v>
      </c>
      <c r="I441" t="s">
        <v>14</v>
      </c>
      <c r="J441" t="s">
        <v>12</v>
      </c>
      <c r="K441">
        <f>IF(tbl_ChargingStation[[#This Row],[status]]="Operational",1,0)</f>
        <v>1</v>
      </c>
      <c r="L441">
        <f t="shared" si="12"/>
        <v>1</v>
      </c>
      <c r="M441" t="str">
        <f t="shared" si="13"/>
        <v>Odisha</v>
      </c>
    </row>
    <row r="442" spans="1:13">
      <c r="A442">
        <v>479420</v>
      </c>
      <c r="B442" t="s">
        <v>24</v>
      </c>
      <c r="C442" t="s">
        <v>12</v>
      </c>
      <c r="D442" t="s">
        <v>20</v>
      </c>
      <c r="E442" t="s">
        <v>13</v>
      </c>
      <c r="F442">
        <v>21.852720000000001</v>
      </c>
      <c r="G442">
        <v>83.999089999999995</v>
      </c>
      <c r="H442">
        <v>1</v>
      </c>
      <c r="I442" t="s">
        <v>14</v>
      </c>
      <c r="J442" t="s">
        <v>12</v>
      </c>
      <c r="K442">
        <f>IF(tbl_ChargingStation[[#This Row],[status]]="Operational",1,0)</f>
        <v>1</v>
      </c>
      <c r="L442">
        <f t="shared" si="12"/>
        <v>1</v>
      </c>
      <c r="M442" t="str">
        <f t="shared" si="13"/>
        <v>Odisha</v>
      </c>
    </row>
    <row r="443" spans="1:13">
      <c r="A443">
        <v>479419</v>
      </c>
      <c r="B443" t="s">
        <v>19</v>
      </c>
      <c r="C443" t="s">
        <v>12</v>
      </c>
      <c r="D443" t="s">
        <v>20</v>
      </c>
      <c r="E443" t="s">
        <v>13</v>
      </c>
      <c r="F443">
        <v>21.86703</v>
      </c>
      <c r="G443">
        <v>83.966207999999995</v>
      </c>
      <c r="H443">
        <v>1</v>
      </c>
      <c r="I443" t="s">
        <v>14</v>
      </c>
      <c r="J443" t="s">
        <v>12</v>
      </c>
      <c r="K443">
        <f>IF(tbl_ChargingStation[[#This Row],[status]]="Operational",1,0)</f>
        <v>1</v>
      </c>
      <c r="L443">
        <f t="shared" si="12"/>
        <v>1</v>
      </c>
      <c r="M443" t="str">
        <f t="shared" si="13"/>
        <v>Odisha</v>
      </c>
    </row>
    <row r="444" spans="1:13">
      <c r="A444">
        <v>479418</v>
      </c>
      <c r="B444" t="s">
        <v>24</v>
      </c>
      <c r="C444" t="s">
        <v>12</v>
      </c>
      <c r="D444" t="s">
        <v>20</v>
      </c>
      <c r="E444" t="s">
        <v>13</v>
      </c>
      <c r="F444">
        <v>21.917408000000002</v>
      </c>
      <c r="G444">
        <v>83.382660000000001</v>
      </c>
      <c r="H444">
        <v>1</v>
      </c>
      <c r="I444" t="s">
        <v>14</v>
      </c>
      <c r="J444" t="s">
        <v>12</v>
      </c>
      <c r="K444">
        <f>IF(tbl_ChargingStation[[#This Row],[status]]="Operational",1,0)</f>
        <v>1</v>
      </c>
      <c r="L444">
        <f t="shared" si="12"/>
        <v>1</v>
      </c>
      <c r="M444" t="str">
        <f t="shared" si="13"/>
        <v>Odisha</v>
      </c>
    </row>
    <row r="445" spans="1:13">
      <c r="A445">
        <v>479417</v>
      </c>
      <c r="B445" t="s">
        <v>19</v>
      </c>
      <c r="C445" t="s">
        <v>12</v>
      </c>
      <c r="D445" t="s">
        <v>20</v>
      </c>
      <c r="E445" t="s">
        <v>13</v>
      </c>
      <c r="F445">
        <v>21.920674000000002</v>
      </c>
      <c r="G445">
        <v>83.370714000000007</v>
      </c>
      <c r="H445">
        <v>1</v>
      </c>
      <c r="I445" t="s">
        <v>14</v>
      </c>
      <c r="J445" t="s">
        <v>12</v>
      </c>
      <c r="K445">
        <f>IF(tbl_ChargingStation[[#This Row],[status]]="Operational",1,0)</f>
        <v>1</v>
      </c>
      <c r="L445">
        <f t="shared" si="12"/>
        <v>1</v>
      </c>
      <c r="M445" t="str">
        <f t="shared" si="13"/>
        <v>Odisha</v>
      </c>
    </row>
    <row r="446" spans="1:13">
      <c r="A446">
        <v>479416</v>
      </c>
      <c r="B446" t="s">
        <v>29</v>
      </c>
      <c r="C446" t="s">
        <v>12</v>
      </c>
      <c r="D446" t="s">
        <v>20</v>
      </c>
      <c r="E446" t="s">
        <v>13</v>
      </c>
      <c r="F446">
        <v>21.872869000000001</v>
      </c>
      <c r="G446">
        <v>83.388349000000005</v>
      </c>
      <c r="H446">
        <v>1</v>
      </c>
      <c r="I446" t="s">
        <v>14</v>
      </c>
      <c r="J446" t="s">
        <v>12</v>
      </c>
      <c r="K446">
        <f>IF(tbl_ChargingStation[[#This Row],[status]]="Operational",1,0)</f>
        <v>1</v>
      </c>
      <c r="L446">
        <f t="shared" si="12"/>
        <v>1</v>
      </c>
      <c r="M446" t="str">
        <f t="shared" si="13"/>
        <v>Odisha</v>
      </c>
    </row>
    <row r="447" spans="1:13">
      <c r="A447">
        <v>479415</v>
      </c>
      <c r="B447" t="s">
        <v>30</v>
      </c>
      <c r="C447" t="s">
        <v>12</v>
      </c>
      <c r="D447" t="s">
        <v>20</v>
      </c>
      <c r="E447" t="s">
        <v>13</v>
      </c>
      <c r="F447">
        <v>21.848500099999999</v>
      </c>
      <c r="G447">
        <v>82.779108800000003</v>
      </c>
      <c r="H447">
        <v>1</v>
      </c>
      <c r="I447" t="s">
        <v>14</v>
      </c>
      <c r="J447" t="s">
        <v>12</v>
      </c>
      <c r="K447">
        <f>IF(tbl_ChargingStation[[#This Row],[status]]="Operational",1,0)</f>
        <v>1</v>
      </c>
      <c r="L447">
        <f t="shared" si="12"/>
        <v>1</v>
      </c>
      <c r="M447" t="str">
        <f t="shared" si="13"/>
        <v>Odisha</v>
      </c>
    </row>
    <row r="448" spans="1:13">
      <c r="A448">
        <v>479413</v>
      </c>
      <c r="B448" t="s">
        <v>29</v>
      </c>
      <c r="C448" t="s">
        <v>12</v>
      </c>
      <c r="D448" t="s">
        <v>20</v>
      </c>
      <c r="E448" t="s">
        <v>13</v>
      </c>
      <c r="F448">
        <v>21.864104300000001</v>
      </c>
      <c r="G448">
        <v>82.462108799999996</v>
      </c>
      <c r="H448">
        <v>1</v>
      </c>
      <c r="I448" t="s">
        <v>14</v>
      </c>
      <c r="J448" t="s">
        <v>12</v>
      </c>
      <c r="K448">
        <f>IF(tbl_ChargingStation[[#This Row],[status]]="Operational",1,0)</f>
        <v>1</v>
      </c>
      <c r="L448">
        <f t="shared" si="12"/>
        <v>1</v>
      </c>
      <c r="M448" t="str">
        <f t="shared" si="13"/>
        <v>Odisha</v>
      </c>
    </row>
    <row r="449" spans="1:13">
      <c r="A449">
        <v>479412</v>
      </c>
      <c r="B449" t="s">
        <v>28</v>
      </c>
      <c r="C449" t="s">
        <v>12</v>
      </c>
      <c r="D449" t="s">
        <v>20</v>
      </c>
      <c r="E449" t="s">
        <v>13</v>
      </c>
      <c r="F449">
        <v>21.883378199999999</v>
      </c>
      <c r="G449">
        <v>82.150494199999997</v>
      </c>
      <c r="H449">
        <v>1</v>
      </c>
      <c r="I449" t="s">
        <v>14</v>
      </c>
      <c r="J449" t="s">
        <v>12</v>
      </c>
      <c r="K449">
        <f>IF(tbl_ChargingStation[[#This Row],[status]]="Operational",1,0)</f>
        <v>1</v>
      </c>
      <c r="L449">
        <f t="shared" si="12"/>
        <v>1</v>
      </c>
      <c r="M449" t="str">
        <f t="shared" si="13"/>
        <v>Odisha</v>
      </c>
    </row>
    <row r="450" spans="1:13">
      <c r="A450">
        <v>479411</v>
      </c>
      <c r="B450" t="s">
        <v>29</v>
      </c>
      <c r="C450" t="s">
        <v>12</v>
      </c>
      <c r="D450" t="s">
        <v>20</v>
      </c>
      <c r="E450" t="s">
        <v>13</v>
      </c>
      <c r="F450">
        <v>21.734158000000001</v>
      </c>
      <c r="G450">
        <v>81.535731999999996</v>
      </c>
      <c r="H450">
        <v>1</v>
      </c>
      <c r="I450" t="s">
        <v>14</v>
      </c>
      <c r="J450" t="s">
        <v>12</v>
      </c>
      <c r="K450">
        <f>IF(tbl_ChargingStation[[#This Row],[status]]="Operational",1,0)</f>
        <v>1</v>
      </c>
      <c r="L450">
        <f t="shared" ref="L450:L513" si="14">H450*K450</f>
        <v>1</v>
      </c>
      <c r="M450" t="str">
        <f t="shared" ref="M450:M513" si="15">IF(D450="GJ","Gujarat",IF(OR(D450="Keral",D450="Keraka",D450="Lerala"),"Kerala",IF(D450="MH","Maharashtra",IF(D450="MP","Madhya Pradesh",IF(D450="RJ","Rajasthan",IF(D450="TAMILNADU","Tamil Nadu",IF(D450="Uttarakhnad","Uttarakhand",D450)))))))</f>
        <v>Odisha</v>
      </c>
    </row>
    <row r="451" spans="1:13">
      <c r="A451">
        <v>479410</v>
      </c>
      <c r="B451" t="s">
        <v>32</v>
      </c>
      <c r="C451" t="s">
        <v>12</v>
      </c>
      <c r="D451" t="s">
        <v>20</v>
      </c>
      <c r="E451" t="s">
        <v>13</v>
      </c>
      <c r="F451">
        <v>21.592751</v>
      </c>
      <c r="G451">
        <v>87.020588000000004</v>
      </c>
      <c r="H451">
        <v>1</v>
      </c>
      <c r="I451" t="s">
        <v>14</v>
      </c>
      <c r="J451" t="s">
        <v>12</v>
      </c>
      <c r="K451">
        <f>IF(tbl_ChargingStation[[#This Row],[status]]="Operational",1,0)</f>
        <v>1</v>
      </c>
      <c r="L451">
        <f t="shared" si="14"/>
        <v>1</v>
      </c>
      <c r="M451" t="str">
        <f t="shared" si="15"/>
        <v>Odisha</v>
      </c>
    </row>
    <row r="452" spans="1:13">
      <c r="A452">
        <v>479409</v>
      </c>
      <c r="B452" t="s">
        <v>32</v>
      </c>
      <c r="C452" t="s">
        <v>12</v>
      </c>
      <c r="D452" t="s">
        <v>20</v>
      </c>
      <c r="E452" t="s">
        <v>13</v>
      </c>
      <c r="F452">
        <v>21.592610799999999</v>
      </c>
      <c r="G452">
        <v>87.0205579</v>
      </c>
      <c r="H452">
        <v>1</v>
      </c>
      <c r="I452" t="s">
        <v>14</v>
      </c>
      <c r="J452" t="s">
        <v>12</v>
      </c>
      <c r="K452">
        <f>IF(tbl_ChargingStation[[#This Row],[status]]="Operational",1,0)</f>
        <v>1</v>
      </c>
      <c r="L452">
        <f t="shared" si="14"/>
        <v>1</v>
      </c>
      <c r="M452" t="str">
        <f t="shared" si="15"/>
        <v>Odisha</v>
      </c>
    </row>
    <row r="453" spans="1:13">
      <c r="A453">
        <v>479408</v>
      </c>
      <c r="B453" t="s">
        <v>28</v>
      </c>
      <c r="C453" t="s">
        <v>12</v>
      </c>
      <c r="D453" t="s">
        <v>20</v>
      </c>
      <c r="E453" t="s">
        <v>13</v>
      </c>
      <c r="F453">
        <v>21.593016599999999</v>
      </c>
      <c r="G453">
        <v>87.020728500000004</v>
      </c>
      <c r="H453">
        <v>1</v>
      </c>
      <c r="I453" t="s">
        <v>14</v>
      </c>
      <c r="J453" t="s">
        <v>12</v>
      </c>
      <c r="K453">
        <f>IF(tbl_ChargingStation[[#This Row],[status]]="Operational",1,0)</f>
        <v>1</v>
      </c>
      <c r="L453">
        <f t="shared" si="14"/>
        <v>1</v>
      </c>
      <c r="M453" t="str">
        <f t="shared" si="15"/>
        <v>Odisha</v>
      </c>
    </row>
    <row r="454" spans="1:13">
      <c r="A454">
        <v>479405</v>
      </c>
      <c r="B454" t="s">
        <v>28</v>
      </c>
      <c r="C454" t="s">
        <v>12</v>
      </c>
      <c r="D454" t="s">
        <v>20</v>
      </c>
      <c r="E454" t="s">
        <v>13</v>
      </c>
      <c r="F454">
        <v>21.5746535</v>
      </c>
      <c r="G454">
        <v>87.098495900000003</v>
      </c>
      <c r="H454">
        <v>1</v>
      </c>
      <c r="I454" t="s">
        <v>14</v>
      </c>
      <c r="J454" t="s">
        <v>12</v>
      </c>
      <c r="K454">
        <f>IF(tbl_ChargingStation[[#This Row],[status]]="Operational",1,0)</f>
        <v>1</v>
      </c>
      <c r="L454">
        <f t="shared" si="14"/>
        <v>1</v>
      </c>
      <c r="M454" t="str">
        <f t="shared" si="15"/>
        <v>Odisha</v>
      </c>
    </row>
    <row r="455" spans="1:13">
      <c r="A455">
        <v>479404</v>
      </c>
      <c r="B455" t="s">
        <v>19</v>
      </c>
      <c r="C455" t="s">
        <v>12</v>
      </c>
      <c r="D455" t="s">
        <v>20</v>
      </c>
      <c r="E455" t="s">
        <v>13</v>
      </c>
      <c r="F455">
        <v>21.479921999999998</v>
      </c>
      <c r="G455">
        <v>86.904904000000002</v>
      </c>
      <c r="H455">
        <v>1</v>
      </c>
      <c r="I455" t="s">
        <v>14</v>
      </c>
      <c r="J455" t="s">
        <v>12</v>
      </c>
      <c r="K455">
        <f>IF(tbl_ChargingStation[[#This Row],[status]]="Operational",1,0)</f>
        <v>1</v>
      </c>
      <c r="L455">
        <f t="shared" si="14"/>
        <v>1</v>
      </c>
      <c r="M455" t="str">
        <f t="shared" si="15"/>
        <v>Odisha</v>
      </c>
    </row>
    <row r="456" spans="1:13">
      <c r="A456">
        <v>479403</v>
      </c>
      <c r="B456" t="s">
        <v>25</v>
      </c>
      <c r="C456" t="s">
        <v>12</v>
      </c>
      <c r="D456" t="s">
        <v>20</v>
      </c>
      <c r="E456" t="s">
        <v>13</v>
      </c>
      <c r="F456">
        <v>21.506459100000001</v>
      </c>
      <c r="G456">
        <v>86.911090999999999</v>
      </c>
      <c r="H456">
        <v>1</v>
      </c>
      <c r="I456" t="s">
        <v>14</v>
      </c>
      <c r="J456" t="s">
        <v>12</v>
      </c>
      <c r="K456">
        <f>IF(tbl_ChargingStation[[#This Row],[status]]="Operational",1,0)</f>
        <v>1</v>
      </c>
      <c r="L456">
        <f t="shared" si="14"/>
        <v>1</v>
      </c>
      <c r="M456" t="str">
        <f t="shared" si="15"/>
        <v>Odisha</v>
      </c>
    </row>
    <row r="457" spans="1:13">
      <c r="A457">
        <v>479402</v>
      </c>
      <c r="B457" t="s">
        <v>19</v>
      </c>
      <c r="C457" t="s">
        <v>12</v>
      </c>
      <c r="D457" t="s">
        <v>20</v>
      </c>
      <c r="E457" t="s">
        <v>13</v>
      </c>
      <c r="F457">
        <v>21.497827399999998</v>
      </c>
      <c r="G457">
        <v>86.889646900000002</v>
      </c>
      <c r="H457">
        <v>1</v>
      </c>
      <c r="I457" t="s">
        <v>14</v>
      </c>
      <c r="J457" t="s">
        <v>12</v>
      </c>
      <c r="K457">
        <f>IF(tbl_ChargingStation[[#This Row],[status]]="Operational",1,0)</f>
        <v>1</v>
      </c>
      <c r="L457">
        <f t="shared" si="14"/>
        <v>1</v>
      </c>
      <c r="M457" t="str">
        <f t="shared" si="15"/>
        <v>Odisha</v>
      </c>
    </row>
    <row r="458" spans="1:13">
      <c r="A458">
        <v>479401</v>
      </c>
      <c r="B458" t="s">
        <v>19</v>
      </c>
      <c r="C458" t="s">
        <v>12</v>
      </c>
      <c r="D458" t="s">
        <v>20</v>
      </c>
      <c r="E458" t="s">
        <v>13</v>
      </c>
      <c r="F458">
        <v>21.548808999999999</v>
      </c>
      <c r="G458">
        <v>85.494005999999999</v>
      </c>
      <c r="H458">
        <v>1</v>
      </c>
      <c r="I458" t="s">
        <v>14</v>
      </c>
      <c r="J458" t="s">
        <v>12</v>
      </c>
      <c r="K458">
        <f>IF(tbl_ChargingStation[[#This Row],[status]]="Operational",1,0)</f>
        <v>1</v>
      </c>
      <c r="L458">
        <f t="shared" si="14"/>
        <v>1</v>
      </c>
      <c r="M458" t="str">
        <f t="shared" si="15"/>
        <v>Odisha</v>
      </c>
    </row>
    <row r="459" spans="1:13">
      <c r="A459">
        <v>479400</v>
      </c>
      <c r="B459" t="s">
        <v>24</v>
      </c>
      <c r="C459" t="s">
        <v>12</v>
      </c>
      <c r="D459" t="s">
        <v>20</v>
      </c>
      <c r="E459" t="s">
        <v>13</v>
      </c>
      <c r="F459">
        <v>21.632461299999999</v>
      </c>
      <c r="G459">
        <v>85.590788399999994</v>
      </c>
      <c r="H459">
        <v>1</v>
      </c>
      <c r="I459" t="s">
        <v>14</v>
      </c>
      <c r="J459" t="s">
        <v>12</v>
      </c>
      <c r="K459">
        <f>IF(tbl_ChargingStation[[#This Row],[status]]="Operational",1,0)</f>
        <v>1</v>
      </c>
      <c r="L459">
        <f t="shared" si="14"/>
        <v>1</v>
      </c>
      <c r="M459" t="str">
        <f t="shared" si="15"/>
        <v>Odisha</v>
      </c>
    </row>
    <row r="460" spans="1:13">
      <c r="A460">
        <v>479399</v>
      </c>
      <c r="B460" t="s">
        <v>28</v>
      </c>
      <c r="C460" t="s">
        <v>12</v>
      </c>
      <c r="D460" t="s">
        <v>20</v>
      </c>
      <c r="E460" t="s">
        <v>13</v>
      </c>
      <c r="F460">
        <v>21.549086899999999</v>
      </c>
      <c r="G460">
        <v>85.494270900000004</v>
      </c>
      <c r="H460">
        <v>1</v>
      </c>
      <c r="I460" t="s">
        <v>14</v>
      </c>
      <c r="J460" t="s">
        <v>12</v>
      </c>
      <c r="K460">
        <f>IF(tbl_ChargingStation[[#This Row],[status]]="Operational",1,0)</f>
        <v>1</v>
      </c>
      <c r="L460">
        <f t="shared" si="14"/>
        <v>1</v>
      </c>
      <c r="M460" t="str">
        <f t="shared" si="15"/>
        <v>Odisha</v>
      </c>
    </row>
    <row r="461" spans="1:13">
      <c r="A461">
        <v>479398</v>
      </c>
      <c r="B461" t="s">
        <v>25</v>
      </c>
      <c r="C461" t="s">
        <v>12</v>
      </c>
      <c r="D461" t="s">
        <v>20</v>
      </c>
      <c r="E461" t="s">
        <v>13</v>
      </c>
      <c r="F461">
        <v>21.651430000000001</v>
      </c>
      <c r="G461">
        <v>85.593950000000007</v>
      </c>
      <c r="H461">
        <v>1</v>
      </c>
      <c r="I461" t="s">
        <v>14</v>
      </c>
      <c r="J461" t="s">
        <v>12</v>
      </c>
      <c r="K461">
        <f>IF(tbl_ChargingStation[[#This Row],[status]]="Operational",1,0)</f>
        <v>1</v>
      </c>
      <c r="L461">
        <f t="shared" si="14"/>
        <v>1</v>
      </c>
      <c r="M461" t="str">
        <f t="shared" si="15"/>
        <v>Odisha</v>
      </c>
    </row>
    <row r="462" spans="1:13">
      <c r="A462">
        <v>479397</v>
      </c>
      <c r="B462" t="s">
        <v>24</v>
      </c>
      <c r="C462" t="s">
        <v>12</v>
      </c>
      <c r="D462" t="s">
        <v>20</v>
      </c>
      <c r="E462" t="s">
        <v>13</v>
      </c>
      <c r="F462">
        <v>21.491886999999998</v>
      </c>
      <c r="G462">
        <v>83.986008200000001</v>
      </c>
      <c r="H462">
        <v>1</v>
      </c>
      <c r="I462" t="s">
        <v>14</v>
      </c>
      <c r="J462" t="s">
        <v>12</v>
      </c>
      <c r="K462">
        <f>IF(tbl_ChargingStation[[#This Row],[status]]="Operational",1,0)</f>
        <v>1</v>
      </c>
      <c r="L462">
        <f t="shared" si="14"/>
        <v>1</v>
      </c>
      <c r="M462" t="str">
        <f t="shared" si="15"/>
        <v>Odisha</v>
      </c>
    </row>
    <row r="463" spans="1:13">
      <c r="A463">
        <v>479395</v>
      </c>
      <c r="B463" t="s">
        <v>19</v>
      </c>
      <c r="C463" t="s">
        <v>12</v>
      </c>
      <c r="D463" t="s">
        <v>20</v>
      </c>
      <c r="E463" t="s">
        <v>13</v>
      </c>
      <c r="F463">
        <v>21.510616299999999</v>
      </c>
      <c r="G463">
        <v>84.005920200000006</v>
      </c>
      <c r="H463">
        <v>1</v>
      </c>
      <c r="I463" t="s">
        <v>14</v>
      </c>
      <c r="J463" t="s">
        <v>12</v>
      </c>
      <c r="K463">
        <f>IF(tbl_ChargingStation[[#This Row],[status]]="Operational",1,0)</f>
        <v>1</v>
      </c>
      <c r="L463">
        <f t="shared" si="14"/>
        <v>1</v>
      </c>
      <c r="M463" t="str">
        <f t="shared" si="15"/>
        <v>Odisha</v>
      </c>
    </row>
    <row r="464" spans="1:13">
      <c r="A464">
        <v>479394</v>
      </c>
      <c r="B464" t="s">
        <v>25</v>
      </c>
      <c r="C464" t="s">
        <v>12</v>
      </c>
      <c r="D464" t="s">
        <v>20</v>
      </c>
      <c r="E464" t="s">
        <v>13</v>
      </c>
      <c r="F464">
        <v>21.495249999999999</v>
      </c>
      <c r="G464">
        <v>83.975719999999995</v>
      </c>
      <c r="H464">
        <v>1</v>
      </c>
      <c r="I464" t="s">
        <v>14</v>
      </c>
      <c r="J464" t="s">
        <v>12</v>
      </c>
      <c r="K464">
        <f>IF(tbl_ChargingStation[[#This Row],[status]]="Operational",1,0)</f>
        <v>1</v>
      </c>
      <c r="L464">
        <f t="shared" si="14"/>
        <v>1</v>
      </c>
      <c r="M464" t="str">
        <f t="shared" si="15"/>
        <v>Odisha</v>
      </c>
    </row>
    <row r="465" spans="1:13">
      <c r="A465">
        <v>479392</v>
      </c>
      <c r="B465" t="s">
        <v>29</v>
      </c>
      <c r="C465" t="s">
        <v>12</v>
      </c>
      <c r="D465" t="s">
        <v>20</v>
      </c>
      <c r="E465" t="s">
        <v>13</v>
      </c>
      <c r="F465">
        <v>21.494135</v>
      </c>
      <c r="G465">
        <v>83.982290000000006</v>
      </c>
      <c r="H465">
        <v>1</v>
      </c>
      <c r="I465" t="s">
        <v>14</v>
      </c>
      <c r="J465" t="s">
        <v>12</v>
      </c>
      <c r="K465">
        <f>IF(tbl_ChargingStation[[#This Row],[status]]="Operational",1,0)</f>
        <v>1</v>
      </c>
      <c r="L465">
        <f t="shared" si="14"/>
        <v>1</v>
      </c>
      <c r="M465" t="str">
        <f t="shared" si="15"/>
        <v>Odisha</v>
      </c>
    </row>
    <row r="466" spans="1:13">
      <c r="A466">
        <v>479391</v>
      </c>
      <c r="B466" t="s">
        <v>23</v>
      </c>
      <c r="C466" t="s">
        <v>12</v>
      </c>
      <c r="D466" t="s">
        <v>20</v>
      </c>
      <c r="E466" t="s">
        <v>13</v>
      </c>
      <c r="F466">
        <v>21.632665299999999</v>
      </c>
      <c r="G466">
        <v>82.159203700000006</v>
      </c>
      <c r="H466">
        <v>1</v>
      </c>
      <c r="I466" t="s">
        <v>14</v>
      </c>
      <c r="J466" t="s">
        <v>12</v>
      </c>
      <c r="K466">
        <f>IF(tbl_ChargingStation[[#This Row],[status]]="Operational",1,0)</f>
        <v>1</v>
      </c>
      <c r="L466">
        <f t="shared" si="14"/>
        <v>1</v>
      </c>
      <c r="M466" t="str">
        <f t="shared" si="15"/>
        <v>Odisha</v>
      </c>
    </row>
    <row r="467" spans="1:13">
      <c r="A467">
        <v>479390</v>
      </c>
      <c r="B467" t="s">
        <v>23</v>
      </c>
      <c r="C467" t="s">
        <v>12</v>
      </c>
      <c r="D467" t="s">
        <v>20</v>
      </c>
      <c r="E467" t="s">
        <v>13</v>
      </c>
      <c r="F467">
        <v>21.550270000000001</v>
      </c>
      <c r="G467">
        <v>81.947460000000007</v>
      </c>
      <c r="H467">
        <v>1</v>
      </c>
      <c r="I467" t="s">
        <v>14</v>
      </c>
      <c r="J467" t="s">
        <v>12</v>
      </c>
      <c r="K467">
        <f>IF(tbl_ChargingStation[[#This Row],[status]]="Operational",1,0)</f>
        <v>1</v>
      </c>
      <c r="L467">
        <f t="shared" si="14"/>
        <v>1</v>
      </c>
      <c r="M467" t="str">
        <f t="shared" si="15"/>
        <v>Odisha</v>
      </c>
    </row>
    <row r="468" spans="1:13">
      <c r="A468">
        <v>479388</v>
      </c>
      <c r="B468" t="s">
        <v>33</v>
      </c>
      <c r="C468" t="s">
        <v>12</v>
      </c>
      <c r="D468" t="s">
        <v>20</v>
      </c>
      <c r="E468" t="s">
        <v>13</v>
      </c>
      <c r="F468">
        <v>21.7025644</v>
      </c>
      <c r="G468">
        <v>81.542717499999995</v>
      </c>
      <c r="H468">
        <v>1</v>
      </c>
      <c r="I468" t="s">
        <v>14</v>
      </c>
      <c r="J468" t="s">
        <v>12</v>
      </c>
      <c r="K468">
        <f>IF(tbl_ChargingStation[[#This Row],[status]]="Operational",1,0)</f>
        <v>1</v>
      </c>
      <c r="L468">
        <f t="shared" si="14"/>
        <v>1</v>
      </c>
      <c r="M468" t="str">
        <f t="shared" si="15"/>
        <v>Odisha</v>
      </c>
    </row>
    <row r="469" spans="1:13">
      <c r="A469">
        <v>479387</v>
      </c>
      <c r="B469" t="s">
        <v>24</v>
      </c>
      <c r="C469" t="s">
        <v>12</v>
      </c>
      <c r="D469" t="s">
        <v>20</v>
      </c>
      <c r="E469" t="s">
        <v>13</v>
      </c>
      <c r="F469">
        <v>21.697686999999998</v>
      </c>
      <c r="G469">
        <v>81.546139999999994</v>
      </c>
      <c r="H469">
        <v>1</v>
      </c>
      <c r="I469" t="s">
        <v>14</v>
      </c>
      <c r="J469" t="s">
        <v>12</v>
      </c>
      <c r="K469">
        <f>IF(tbl_ChargingStation[[#This Row],[status]]="Operational",1,0)</f>
        <v>1</v>
      </c>
      <c r="L469">
        <f t="shared" si="14"/>
        <v>1</v>
      </c>
      <c r="M469" t="str">
        <f t="shared" si="15"/>
        <v>Odisha</v>
      </c>
    </row>
    <row r="470" spans="1:13">
      <c r="A470">
        <v>479386</v>
      </c>
      <c r="B470" t="s">
        <v>19</v>
      </c>
      <c r="C470" t="s">
        <v>12</v>
      </c>
      <c r="D470" t="s">
        <v>20</v>
      </c>
      <c r="E470" t="s">
        <v>13</v>
      </c>
      <c r="F470">
        <v>21.63401</v>
      </c>
      <c r="G470">
        <v>81.623890000000003</v>
      </c>
      <c r="H470">
        <v>1</v>
      </c>
      <c r="I470" t="s">
        <v>14</v>
      </c>
      <c r="J470" t="s">
        <v>12</v>
      </c>
      <c r="K470">
        <f>IF(tbl_ChargingStation[[#This Row],[status]]="Operational",1,0)</f>
        <v>1</v>
      </c>
      <c r="L470">
        <f t="shared" si="14"/>
        <v>1</v>
      </c>
      <c r="M470" t="str">
        <f t="shared" si="15"/>
        <v>Odisha</v>
      </c>
    </row>
    <row r="471" spans="1:13">
      <c r="A471">
        <v>479385</v>
      </c>
      <c r="B471" t="s">
        <v>29</v>
      </c>
      <c r="C471" t="s">
        <v>12</v>
      </c>
      <c r="D471" t="s">
        <v>20</v>
      </c>
      <c r="E471" t="s">
        <v>13</v>
      </c>
      <c r="F471">
        <v>21.5166085</v>
      </c>
      <c r="G471">
        <v>81.693927900000006</v>
      </c>
      <c r="H471">
        <v>1</v>
      </c>
      <c r="I471" t="s">
        <v>14</v>
      </c>
      <c r="J471" t="s">
        <v>12</v>
      </c>
      <c r="K471">
        <f>IF(tbl_ChargingStation[[#This Row],[status]]="Operational",1,0)</f>
        <v>1</v>
      </c>
      <c r="L471">
        <f t="shared" si="14"/>
        <v>1</v>
      </c>
      <c r="M471" t="str">
        <f t="shared" si="15"/>
        <v>Odisha</v>
      </c>
    </row>
    <row r="472" spans="1:13">
      <c r="A472">
        <v>479384</v>
      </c>
      <c r="B472" t="s">
        <v>32</v>
      </c>
      <c r="C472" t="s">
        <v>12</v>
      </c>
      <c r="D472" t="s">
        <v>20</v>
      </c>
      <c r="E472" t="s">
        <v>13</v>
      </c>
      <c r="F472">
        <v>21.317264000000002</v>
      </c>
      <c r="G472">
        <v>86.725104999999999</v>
      </c>
      <c r="H472">
        <v>1</v>
      </c>
      <c r="I472" t="s">
        <v>14</v>
      </c>
      <c r="J472" t="s">
        <v>12</v>
      </c>
      <c r="K472">
        <f>IF(tbl_ChargingStation[[#This Row],[status]]="Operational",1,0)</f>
        <v>1</v>
      </c>
      <c r="L472">
        <f t="shared" si="14"/>
        <v>1</v>
      </c>
      <c r="M472" t="str">
        <f t="shared" si="15"/>
        <v>Odisha</v>
      </c>
    </row>
    <row r="473" spans="1:13">
      <c r="A473">
        <v>479383</v>
      </c>
      <c r="B473" t="s">
        <v>28</v>
      </c>
      <c r="C473" t="s">
        <v>12</v>
      </c>
      <c r="D473" t="s">
        <v>20</v>
      </c>
      <c r="E473" t="s">
        <v>13</v>
      </c>
      <c r="F473">
        <v>21.284536899999999</v>
      </c>
      <c r="G473">
        <v>86.674979500000006</v>
      </c>
      <c r="H473">
        <v>1</v>
      </c>
      <c r="I473" t="s">
        <v>14</v>
      </c>
      <c r="J473" t="s">
        <v>12</v>
      </c>
      <c r="K473">
        <f>IF(tbl_ChargingStation[[#This Row],[status]]="Operational",1,0)</f>
        <v>1</v>
      </c>
      <c r="L473">
        <f t="shared" si="14"/>
        <v>1</v>
      </c>
      <c r="M473" t="str">
        <f t="shared" si="15"/>
        <v>Odisha</v>
      </c>
    </row>
    <row r="474" spans="1:13">
      <c r="A474">
        <v>479382</v>
      </c>
      <c r="B474" t="s">
        <v>29</v>
      </c>
      <c r="C474" t="s">
        <v>12</v>
      </c>
      <c r="D474" t="s">
        <v>20</v>
      </c>
      <c r="E474" t="s">
        <v>13</v>
      </c>
      <c r="F474">
        <v>21.382528600000001</v>
      </c>
      <c r="G474">
        <v>86.796329999999998</v>
      </c>
      <c r="H474">
        <v>1</v>
      </c>
      <c r="I474" t="s">
        <v>14</v>
      </c>
      <c r="J474" t="s">
        <v>12</v>
      </c>
      <c r="K474">
        <f>IF(tbl_ChargingStation[[#This Row],[status]]="Operational",1,0)</f>
        <v>1</v>
      </c>
      <c r="L474">
        <f t="shared" si="14"/>
        <v>1</v>
      </c>
      <c r="M474" t="str">
        <f t="shared" si="15"/>
        <v>Odisha</v>
      </c>
    </row>
    <row r="475" spans="1:13">
      <c r="A475">
        <v>479381</v>
      </c>
      <c r="B475" t="s">
        <v>29</v>
      </c>
      <c r="C475" t="s">
        <v>12</v>
      </c>
      <c r="D475" t="s">
        <v>20</v>
      </c>
      <c r="E475" t="s">
        <v>13</v>
      </c>
      <c r="F475">
        <v>21.358080999999999</v>
      </c>
      <c r="G475">
        <v>86.784451000000004</v>
      </c>
      <c r="H475">
        <v>1</v>
      </c>
      <c r="I475" t="s">
        <v>14</v>
      </c>
      <c r="J475" t="s">
        <v>12</v>
      </c>
      <c r="K475">
        <f>IF(tbl_ChargingStation[[#This Row],[status]]="Operational",1,0)</f>
        <v>1</v>
      </c>
      <c r="L475">
        <f t="shared" si="14"/>
        <v>1</v>
      </c>
      <c r="M475" t="str">
        <f t="shared" si="15"/>
        <v>Odisha</v>
      </c>
    </row>
    <row r="476" spans="1:13">
      <c r="A476">
        <v>479380</v>
      </c>
      <c r="B476" t="s">
        <v>28</v>
      </c>
      <c r="C476" t="s">
        <v>12</v>
      </c>
      <c r="D476" t="s">
        <v>20</v>
      </c>
      <c r="E476" t="s">
        <v>13</v>
      </c>
      <c r="F476">
        <v>21.2216615</v>
      </c>
      <c r="G476">
        <v>86.119069699999997</v>
      </c>
      <c r="H476">
        <v>1</v>
      </c>
      <c r="I476" t="s">
        <v>14</v>
      </c>
      <c r="J476" t="s">
        <v>12</v>
      </c>
      <c r="K476">
        <f>IF(tbl_ChargingStation[[#This Row],[status]]="Operational",1,0)</f>
        <v>1</v>
      </c>
      <c r="L476">
        <f t="shared" si="14"/>
        <v>1</v>
      </c>
      <c r="M476" t="str">
        <f t="shared" si="15"/>
        <v>Odisha</v>
      </c>
    </row>
    <row r="477" spans="1:13">
      <c r="A477">
        <v>479379</v>
      </c>
      <c r="B477" t="s">
        <v>24</v>
      </c>
      <c r="C477" t="s">
        <v>12</v>
      </c>
      <c r="D477" t="s">
        <v>20</v>
      </c>
      <c r="E477" t="s">
        <v>13</v>
      </c>
      <c r="F477">
        <v>21.200248999999999</v>
      </c>
      <c r="G477">
        <v>86.123890000000003</v>
      </c>
      <c r="H477">
        <v>1</v>
      </c>
      <c r="I477" t="s">
        <v>14</v>
      </c>
      <c r="J477" t="s">
        <v>12</v>
      </c>
      <c r="K477">
        <f>IF(tbl_ChargingStation[[#This Row],[status]]="Operational",1,0)</f>
        <v>1</v>
      </c>
      <c r="L477">
        <f t="shared" si="14"/>
        <v>1</v>
      </c>
      <c r="M477" t="str">
        <f t="shared" si="15"/>
        <v>Odisha</v>
      </c>
    </row>
    <row r="478" spans="1:13">
      <c r="A478">
        <v>479378</v>
      </c>
      <c r="B478" t="s">
        <v>29</v>
      </c>
      <c r="C478" t="s">
        <v>12</v>
      </c>
      <c r="D478" t="s">
        <v>20</v>
      </c>
      <c r="E478" t="s">
        <v>13</v>
      </c>
      <c r="F478">
        <v>21.3652959</v>
      </c>
      <c r="G478">
        <v>83.744039099999995</v>
      </c>
      <c r="H478">
        <v>1</v>
      </c>
      <c r="I478" t="s">
        <v>14</v>
      </c>
      <c r="J478" t="s">
        <v>12</v>
      </c>
      <c r="K478">
        <f>IF(tbl_ChargingStation[[#This Row],[status]]="Operational",1,0)</f>
        <v>1</v>
      </c>
      <c r="L478">
        <f t="shared" si="14"/>
        <v>1</v>
      </c>
      <c r="M478" t="str">
        <f t="shared" si="15"/>
        <v>Odisha</v>
      </c>
    </row>
    <row r="479" spans="1:13">
      <c r="A479">
        <v>479377</v>
      </c>
      <c r="B479" t="s">
        <v>29</v>
      </c>
      <c r="C479" t="s">
        <v>12</v>
      </c>
      <c r="D479" t="s">
        <v>20</v>
      </c>
      <c r="E479" t="s">
        <v>13</v>
      </c>
      <c r="F479">
        <v>21.314257000000001</v>
      </c>
      <c r="G479">
        <v>83.458978200000004</v>
      </c>
      <c r="H479">
        <v>1</v>
      </c>
      <c r="I479" t="s">
        <v>14</v>
      </c>
      <c r="J479" t="s">
        <v>12</v>
      </c>
      <c r="K479">
        <f>IF(tbl_ChargingStation[[#This Row],[status]]="Operational",1,0)</f>
        <v>1</v>
      </c>
      <c r="L479">
        <f t="shared" si="14"/>
        <v>1</v>
      </c>
      <c r="M479" t="str">
        <f t="shared" si="15"/>
        <v>Odisha</v>
      </c>
    </row>
    <row r="480" spans="1:13">
      <c r="A480">
        <v>479376</v>
      </c>
      <c r="B480" t="s">
        <v>29</v>
      </c>
      <c r="C480" t="s">
        <v>12</v>
      </c>
      <c r="D480" t="s">
        <v>20</v>
      </c>
      <c r="E480" t="s">
        <v>13</v>
      </c>
      <c r="F480">
        <v>21.312703800000001</v>
      </c>
      <c r="G480">
        <v>83.312890199999998</v>
      </c>
      <c r="H480">
        <v>1</v>
      </c>
      <c r="I480" t="s">
        <v>14</v>
      </c>
      <c r="J480" t="s">
        <v>12</v>
      </c>
      <c r="K480">
        <f>IF(tbl_ChargingStation[[#This Row],[status]]="Operational",1,0)</f>
        <v>1</v>
      </c>
      <c r="L480">
        <f t="shared" si="14"/>
        <v>1</v>
      </c>
      <c r="M480" t="str">
        <f t="shared" si="15"/>
        <v>Odisha</v>
      </c>
    </row>
    <row r="481" spans="1:13">
      <c r="A481">
        <v>479375</v>
      </c>
      <c r="B481" t="s">
        <v>29</v>
      </c>
      <c r="C481" t="s">
        <v>12</v>
      </c>
      <c r="D481" t="s">
        <v>20</v>
      </c>
      <c r="E481" t="s">
        <v>13</v>
      </c>
      <c r="F481">
        <v>21.314737999999998</v>
      </c>
      <c r="G481">
        <v>83.309171000000006</v>
      </c>
      <c r="H481">
        <v>1</v>
      </c>
      <c r="I481" t="s">
        <v>14</v>
      </c>
      <c r="J481" t="s">
        <v>12</v>
      </c>
      <c r="K481">
        <f>IF(tbl_ChargingStation[[#This Row],[status]]="Operational",1,0)</f>
        <v>1</v>
      </c>
      <c r="L481">
        <f t="shared" si="14"/>
        <v>1</v>
      </c>
      <c r="M481" t="str">
        <f t="shared" si="15"/>
        <v>Odisha</v>
      </c>
    </row>
    <row r="482" spans="1:13">
      <c r="A482">
        <v>479373</v>
      </c>
      <c r="B482" t="s">
        <v>24</v>
      </c>
      <c r="C482" t="s">
        <v>12</v>
      </c>
      <c r="D482" t="s">
        <v>20</v>
      </c>
      <c r="E482" t="s">
        <v>13</v>
      </c>
      <c r="F482">
        <v>21.323920000000001</v>
      </c>
      <c r="G482">
        <v>81.7012</v>
      </c>
      <c r="H482">
        <v>1</v>
      </c>
      <c r="I482" t="s">
        <v>14</v>
      </c>
      <c r="J482" t="s">
        <v>12</v>
      </c>
      <c r="K482">
        <f>IF(tbl_ChargingStation[[#This Row],[status]]="Operational",1,0)</f>
        <v>1</v>
      </c>
      <c r="L482">
        <f t="shared" si="14"/>
        <v>1</v>
      </c>
      <c r="M482" t="str">
        <f t="shared" si="15"/>
        <v>Odisha</v>
      </c>
    </row>
    <row r="483" spans="1:13">
      <c r="A483">
        <v>479372</v>
      </c>
      <c r="B483" t="s">
        <v>28</v>
      </c>
      <c r="C483" t="s">
        <v>12</v>
      </c>
      <c r="D483" t="s">
        <v>20</v>
      </c>
      <c r="E483" t="s">
        <v>13</v>
      </c>
      <c r="F483">
        <v>21.202065600000001</v>
      </c>
      <c r="G483">
        <v>81.919296099999997</v>
      </c>
      <c r="H483">
        <v>1</v>
      </c>
      <c r="I483" t="s">
        <v>14</v>
      </c>
      <c r="J483" t="s">
        <v>12</v>
      </c>
      <c r="K483">
        <f>IF(tbl_ChargingStation[[#This Row],[status]]="Operational",1,0)</f>
        <v>1</v>
      </c>
      <c r="L483">
        <f t="shared" si="14"/>
        <v>1</v>
      </c>
      <c r="M483" t="str">
        <f t="shared" si="15"/>
        <v>Odisha</v>
      </c>
    </row>
    <row r="484" spans="1:13">
      <c r="A484">
        <v>479371</v>
      </c>
      <c r="B484" t="s">
        <v>29</v>
      </c>
      <c r="C484" t="s">
        <v>12</v>
      </c>
      <c r="D484" t="s">
        <v>20</v>
      </c>
      <c r="E484" t="s">
        <v>13</v>
      </c>
      <c r="F484">
        <v>21.2057845</v>
      </c>
      <c r="G484">
        <v>81.872112000000001</v>
      </c>
      <c r="H484">
        <v>1</v>
      </c>
      <c r="I484" t="s">
        <v>14</v>
      </c>
      <c r="J484" t="s">
        <v>12</v>
      </c>
      <c r="K484">
        <f>IF(tbl_ChargingStation[[#This Row],[status]]="Operational",1,0)</f>
        <v>1</v>
      </c>
      <c r="L484">
        <f t="shared" si="14"/>
        <v>1</v>
      </c>
      <c r="M484" t="str">
        <f t="shared" si="15"/>
        <v>Odisha</v>
      </c>
    </row>
    <row r="485" spans="1:13">
      <c r="A485">
        <v>479370</v>
      </c>
      <c r="B485" t="s">
        <v>23</v>
      </c>
      <c r="C485" t="s">
        <v>12</v>
      </c>
      <c r="D485" t="s">
        <v>20</v>
      </c>
      <c r="E485" t="s">
        <v>13</v>
      </c>
      <c r="F485">
        <v>21.302802700000001</v>
      </c>
      <c r="G485">
        <v>81.736809100000002</v>
      </c>
      <c r="H485">
        <v>1</v>
      </c>
      <c r="I485" t="s">
        <v>14</v>
      </c>
      <c r="J485" t="s">
        <v>12</v>
      </c>
      <c r="K485">
        <f>IF(tbl_ChargingStation[[#This Row],[status]]="Operational",1,0)</f>
        <v>1</v>
      </c>
      <c r="L485">
        <f t="shared" si="14"/>
        <v>1</v>
      </c>
      <c r="M485" t="str">
        <f t="shared" si="15"/>
        <v>Odisha</v>
      </c>
    </row>
    <row r="486" spans="1:13">
      <c r="A486">
        <v>479369</v>
      </c>
      <c r="B486" t="s">
        <v>28</v>
      </c>
      <c r="C486" t="s">
        <v>12</v>
      </c>
      <c r="D486" t="s">
        <v>20</v>
      </c>
      <c r="E486" t="s">
        <v>13</v>
      </c>
      <c r="F486">
        <v>21.2182526</v>
      </c>
      <c r="G486">
        <v>81.630131300000002</v>
      </c>
      <c r="H486">
        <v>1</v>
      </c>
      <c r="I486" t="s">
        <v>14</v>
      </c>
      <c r="J486" t="s">
        <v>12</v>
      </c>
      <c r="K486">
        <f>IF(tbl_ChargingStation[[#This Row],[status]]="Operational",1,0)</f>
        <v>1</v>
      </c>
      <c r="L486">
        <f t="shared" si="14"/>
        <v>1</v>
      </c>
      <c r="M486" t="str">
        <f t="shared" si="15"/>
        <v>Odisha</v>
      </c>
    </row>
    <row r="487" spans="1:13">
      <c r="A487">
        <v>479368</v>
      </c>
      <c r="B487" t="s">
        <v>35</v>
      </c>
      <c r="C487" t="s">
        <v>12</v>
      </c>
      <c r="D487" t="s">
        <v>20</v>
      </c>
      <c r="E487" t="s">
        <v>13</v>
      </c>
      <c r="F487">
        <v>21.3173134</v>
      </c>
      <c r="G487">
        <v>81.639718400000007</v>
      </c>
      <c r="H487">
        <v>1</v>
      </c>
      <c r="I487" t="s">
        <v>14</v>
      </c>
      <c r="J487" t="s">
        <v>12</v>
      </c>
      <c r="K487">
        <f>IF(tbl_ChargingStation[[#This Row],[status]]="Operational",1,0)</f>
        <v>1</v>
      </c>
      <c r="L487">
        <f t="shared" si="14"/>
        <v>1</v>
      </c>
      <c r="M487" t="str">
        <f t="shared" si="15"/>
        <v>Odisha</v>
      </c>
    </row>
    <row r="488" spans="1:13">
      <c r="A488">
        <v>479367</v>
      </c>
      <c r="B488" t="s">
        <v>19</v>
      </c>
      <c r="C488" t="s">
        <v>12</v>
      </c>
      <c r="D488" t="s">
        <v>20</v>
      </c>
      <c r="E488" t="s">
        <v>13</v>
      </c>
      <c r="F488">
        <v>21.237788699999999</v>
      </c>
      <c r="G488">
        <v>81.689683500000001</v>
      </c>
      <c r="H488">
        <v>1</v>
      </c>
      <c r="I488" t="s">
        <v>14</v>
      </c>
      <c r="J488" t="s">
        <v>12</v>
      </c>
      <c r="K488">
        <f>IF(tbl_ChargingStation[[#This Row],[status]]="Operational",1,0)</f>
        <v>1</v>
      </c>
      <c r="L488">
        <f t="shared" si="14"/>
        <v>1</v>
      </c>
      <c r="M488" t="str">
        <f t="shared" si="15"/>
        <v>Odisha</v>
      </c>
    </row>
    <row r="489" spans="1:13">
      <c r="A489">
        <v>479366</v>
      </c>
      <c r="B489" t="s">
        <v>29</v>
      </c>
      <c r="C489" t="s">
        <v>12</v>
      </c>
      <c r="D489" t="s">
        <v>20</v>
      </c>
      <c r="E489" t="s">
        <v>13</v>
      </c>
      <c r="F489">
        <v>21.249594099999999</v>
      </c>
      <c r="G489">
        <v>81.523425000000003</v>
      </c>
      <c r="H489">
        <v>1</v>
      </c>
      <c r="I489" t="s">
        <v>14</v>
      </c>
      <c r="J489" t="s">
        <v>12</v>
      </c>
      <c r="K489">
        <f>IF(tbl_ChargingStation[[#This Row],[status]]="Operational",1,0)</f>
        <v>1</v>
      </c>
      <c r="L489">
        <f t="shared" si="14"/>
        <v>1</v>
      </c>
      <c r="M489" t="str">
        <f t="shared" si="15"/>
        <v>Odisha</v>
      </c>
    </row>
    <row r="490" spans="1:13">
      <c r="A490">
        <v>479365</v>
      </c>
      <c r="B490" t="s">
        <v>23</v>
      </c>
      <c r="C490" t="s">
        <v>12</v>
      </c>
      <c r="D490" t="s">
        <v>20</v>
      </c>
      <c r="E490" t="s">
        <v>13</v>
      </c>
      <c r="F490">
        <v>21.341342999999998</v>
      </c>
      <c r="G490">
        <v>81.429918999999998</v>
      </c>
      <c r="H490">
        <v>1</v>
      </c>
      <c r="I490" t="s">
        <v>14</v>
      </c>
      <c r="J490" t="s">
        <v>12</v>
      </c>
      <c r="K490">
        <f>IF(tbl_ChargingStation[[#This Row],[status]]="Operational",1,0)</f>
        <v>1</v>
      </c>
      <c r="L490">
        <f t="shared" si="14"/>
        <v>1</v>
      </c>
      <c r="M490" t="str">
        <f t="shared" si="15"/>
        <v>Odisha</v>
      </c>
    </row>
    <row r="491" spans="1:13">
      <c r="A491">
        <v>479364</v>
      </c>
      <c r="B491" t="s">
        <v>29</v>
      </c>
      <c r="C491" t="s">
        <v>12</v>
      </c>
      <c r="D491" t="s">
        <v>20</v>
      </c>
      <c r="E491" t="s">
        <v>13</v>
      </c>
      <c r="F491">
        <v>21.364806000000002</v>
      </c>
      <c r="G491">
        <v>81.663764400000005</v>
      </c>
      <c r="H491">
        <v>1</v>
      </c>
      <c r="I491" t="s">
        <v>14</v>
      </c>
      <c r="J491" t="s">
        <v>12</v>
      </c>
      <c r="K491">
        <f>IF(tbl_ChargingStation[[#This Row],[status]]="Operational",1,0)</f>
        <v>1</v>
      </c>
      <c r="L491">
        <f t="shared" si="14"/>
        <v>1</v>
      </c>
      <c r="M491" t="str">
        <f t="shared" si="15"/>
        <v>Odisha</v>
      </c>
    </row>
    <row r="492" spans="1:13">
      <c r="A492">
        <v>479363</v>
      </c>
      <c r="B492" t="s">
        <v>24</v>
      </c>
      <c r="C492" t="s">
        <v>12</v>
      </c>
      <c r="D492" t="s">
        <v>20</v>
      </c>
      <c r="E492" t="s">
        <v>13</v>
      </c>
      <c r="F492">
        <v>21.241645500000001</v>
      </c>
      <c r="G492">
        <v>81.495900399999996</v>
      </c>
      <c r="H492">
        <v>1</v>
      </c>
      <c r="I492" t="s">
        <v>14</v>
      </c>
      <c r="J492" t="s">
        <v>12</v>
      </c>
      <c r="K492">
        <f>IF(tbl_ChargingStation[[#This Row],[status]]="Operational",1,0)</f>
        <v>1</v>
      </c>
      <c r="L492">
        <f t="shared" si="14"/>
        <v>1</v>
      </c>
      <c r="M492" t="str">
        <f t="shared" si="15"/>
        <v>Odisha</v>
      </c>
    </row>
    <row r="493" spans="1:13">
      <c r="A493">
        <v>479362</v>
      </c>
      <c r="B493" t="s">
        <v>29</v>
      </c>
      <c r="C493" t="s">
        <v>12</v>
      </c>
      <c r="D493" t="s">
        <v>20</v>
      </c>
      <c r="E493" t="s">
        <v>13</v>
      </c>
      <c r="F493">
        <v>21.335394000000001</v>
      </c>
      <c r="G493">
        <v>81.621727000000007</v>
      </c>
      <c r="H493">
        <v>1</v>
      </c>
      <c r="I493" t="s">
        <v>14</v>
      </c>
      <c r="J493" t="s">
        <v>12</v>
      </c>
      <c r="K493">
        <f>IF(tbl_ChargingStation[[#This Row],[status]]="Operational",1,0)</f>
        <v>1</v>
      </c>
      <c r="L493">
        <f t="shared" si="14"/>
        <v>1</v>
      </c>
      <c r="M493" t="str">
        <f t="shared" si="15"/>
        <v>Odisha</v>
      </c>
    </row>
    <row r="494" spans="1:13">
      <c r="A494">
        <v>479361</v>
      </c>
      <c r="B494" t="s">
        <v>19</v>
      </c>
      <c r="C494" t="s">
        <v>12</v>
      </c>
      <c r="D494" t="s">
        <v>20</v>
      </c>
      <c r="E494" t="s">
        <v>13</v>
      </c>
      <c r="F494">
        <v>21.240409499999998</v>
      </c>
      <c r="G494">
        <v>81.657780099999997</v>
      </c>
      <c r="H494">
        <v>1</v>
      </c>
      <c r="I494" t="s">
        <v>14</v>
      </c>
      <c r="J494" t="s">
        <v>12</v>
      </c>
      <c r="K494">
        <f>IF(tbl_ChargingStation[[#This Row],[status]]="Operational",1,0)</f>
        <v>1</v>
      </c>
      <c r="L494">
        <f t="shared" si="14"/>
        <v>1</v>
      </c>
      <c r="M494" t="str">
        <f t="shared" si="15"/>
        <v>Odisha</v>
      </c>
    </row>
    <row r="495" spans="1:13">
      <c r="A495">
        <v>479360</v>
      </c>
      <c r="B495" t="s">
        <v>24</v>
      </c>
      <c r="C495" t="s">
        <v>12</v>
      </c>
      <c r="D495" t="s">
        <v>20</v>
      </c>
      <c r="E495" t="s">
        <v>13</v>
      </c>
      <c r="F495">
        <v>21.2444126</v>
      </c>
      <c r="G495">
        <v>81.607607999999999</v>
      </c>
      <c r="H495">
        <v>1</v>
      </c>
      <c r="I495" t="s">
        <v>14</v>
      </c>
      <c r="J495" t="s">
        <v>12</v>
      </c>
      <c r="K495">
        <f>IF(tbl_ChargingStation[[#This Row],[status]]="Operational",1,0)</f>
        <v>1</v>
      </c>
      <c r="L495">
        <f t="shared" si="14"/>
        <v>1</v>
      </c>
      <c r="M495" t="str">
        <f t="shared" si="15"/>
        <v>Odisha</v>
      </c>
    </row>
    <row r="496" spans="1:13">
      <c r="A496">
        <v>479359</v>
      </c>
      <c r="B496" t="s">
        <v>29</v>
      </c>
      <c r="C496" t="s">
        <v>12</v>
      </c>
      <c r="D496" t="s">
        <v>20</v>
      </c>
      <c r="E496" t="s">
        <v>13</v>
      </c>
      <c r="F496">
        <v>21.315833000000001</v>
      </c>
      <c r="G496">
        <v>81.639605000000003</v>
      </c>
      <c r="H496">
        <v>1</v>
      </c>
      <c r="I496" t="s">
        <v>14</v>
      </c>
      <c r="J496" t="s">
        <v>12</v>
      </c>
      <c r="K496">
        <f>IF(tbl_ChargingStation[[#This Row],[status]]="Operational",1,0)</f>
        <v>1</v>
      </c>
      <c r="L496">
        <f t="shared" si="14"/>
        <v>1</v>
      </c>
      <c r="M496" t="str">
        <f t="shared" si="15"/>
        <v>Odisha</v>
      </c>
    </row>
    <row r="497" spans="1:13">
      <c r="A497">
        <v>479358</v>
      </c>
      <c r="B497" t="s">
        <v>36</v>
      </c>
      <c r="C497" t="s">
        <v>12</v>
      </c>
      <c r="D497" t="s">
        <v>20</v>
      </c>
      <c r="E497" t="s">
        <v>13</v>
      </c>
      <c r="F497">
        <v>21.234622699999999</v>
      </c>
      <c r="G497">
        <v>81.664444399999994</v>
      </c>
      <c r="H497">
        <v>1</v>
      </c>
      <c r="I497" t="s">
        <v>14</v>
      </c>
      <c r="J497" t="s">
        <v>12</v>
      </c>
      <c r="K497">
        <f>IF(tbl_ChargingStation[[#This Row],[status]]="Operational",1,0)</f>
        <v>1</v>
      </c>
      <c r="L497">
        <f t="shared" si="14"/>
        <v>1</v>
      </c>
      <c r="M497" t="str">
        <f t="shared" si="15"/>
        <v>Odisha</v>
      </c>
    </row>
    <row r="498" spans="1:13">
      <c r="A498">
        <v>479357</v>
      </c>
      <c r="B498" t="s">
        <v>24</v>
      </c>
      <c r="C498" t="s">
        <v>12</v>
      </c>
      <c r="D498" t="s">
        <v>20</v>
      </c>
      <c r="E498" t="s">
        <v>13</v>
      </c>
      <c r="F498">
        <v>21.240400099999999</v>
      </c>
      <c r="G498">
        <v>81.6029695</v>
      </c>
      <c r="H498">
        <v>1</v>
      </c>
      <c r="I498" t="s">
        <v>14</v>
      </c>
      <c r="J498" t="s">
        <v>12</v>
      </c>
      <c r="K498">
        <f>IF(tbl_ChargingStation[[#This Row],[status]]="Operational",1,0)</f>
        <v>1</v>
      </c>
      <c r="L498">
        <f t="shared" si="14"/>
        <v>1</v>
      </c>
      <c r="M498" t="str">
        <f t="shared" si="15"/>
        <v>Odisha</v>
      </c>
    </row>
    <row r="499" spans="1:13">
      <c r="A499">
        <v>479356</v>
      </c>
      <c r="B499" t="s">
        <v>29</v>
      </c>
      <c r="C499" t="s">
        <v>12</v>
      </c>
      <c r="D499" t="s">
        <v>20</v>
      </c>
      <c r="E499" t="s">
        <v>13</v>
      </c>
      <c r="F499">
        <v>21.243320000000001</v>
      </c>
      <c r="G499">
        <v>81.579622000000001</v>
      </c>
      <c r="H499">
        <v>1</v>
      </c>
      <c r="I499" t="s">
        <v>14</v>
      </c>
      <c r="J499" t="s">
        <v>12</v>
      </c>
      <c r="K499">
        <f>IF(tbl_ChargingStation[[#This Row],[status]]="Operational",1,0)</f>
        <v>1</v>
      </c>
      <c r="L499">
        <f t="shared" si="14"/>
        <v>1</v>
      </c>
      <c r="M499" t="str">
        <f t="shared" si="15"/>
        <v>Odisha</v>
      </c>
    </row>
    <row r="500" spans="1:13">
      <c r="A500">
        <v>479354</v>
      </c>
      <c r="B500" t="s">
        <v>25</v>
      </c>
      <c r="C500" t="s">
        <v>12</v>
      </c>
      <c r="D500" t="s">
        <v>20</v>
      </c>
      <c r="E500" t="s">
        <v>13</v>
      </c>
      <c r="F500">
        <v>21.244000400000001</v>
      </c>
      <c r="G500">
        <v>81.634718800000002</v>
      </c>
      <c r="H500">
        <v>1</v>
      </c>
      <c r="I500" t="s">
        <v>14</v>
      </c>
      <c r="J500" t="s">
        <v>12</v>
      </c>
      <c r="K500">
        <f>IF(tbl_ChargingStation[[#This Row],[status]]="Operational",1,0)</f>
        <v>1</v>
      </c>
      <c r="L500">
        <f t="shared" si="14"/>
        <v>1</v>
      </c>
      <c r="M500" t="str">
        <f t="shared" si="15"/>
        <v>Odisha</v>
      </c>
    </row>
    <row r="501" spans="1:13">
      <c r="A501">
        <v>479351</v>
      </c>
      <c r="B501" t="s">
        <v>24</v>
      </c>
      <c r="C501" t="s">
        <v>12</v>
      </c>
      <c r="D501" t="s">
        <v>20</v>
      </c>
      <c r="E501" t="s">
        <v>13</v>
      </c>
      <c r="F501">
        <v>21.240207099999999</v>
      </c>
      <c r="G501">
        <v>81.684308299999998</v>
      </c>
      <c r="H501">
        <v>1</v>
      </c>
      <c r="I501" t="s">
        <v>14</v>
      </c>
      <c r="J501" t="s">
        <v>12</v>
      </c>
      <c r="K501">
        <f>IF(tbl_ChargingStation[[#This Row],[status]]="Operational",1,0)</f>
        <v>1</v>
      </c>
      <c r="L501">
        <f t="shared" si="14"/>
        <v>1</v>
      </c>
      <c r="M501" t="str">
        <f t="shared" si="15"/>
        <v>Odisha</v>
      </c>
    </row>
    <row r="502" spans="1:13">
      <c r="A502">
        <v>479350</v>
      </c>
      <c r="B502" t="s">
        <v>37</v>
      </c>
      <c r="C502" t="s">
        <v>12</v>
      </c>
      <c r="D502" t="s">
        <v>20</v>
      </c>
      <c r="E502" t="s">
        <v>13</v>
      </c>
      <c r="F502">
        <v>21.2395532</v>
      </c>
      <c r="G502">
        <v>81.677671399999994</v>
      </c>
      <c r="H502">
        <v>1</v>
      </c>
      <c r="I502" t="s">
        <v>14</v>
      </c>
      <c r="J502" t="s">
        <v>12</v>
      </c>
      <c r="K502">
        <f>IF(tbl_ChargingStation[[#This Row],[status]]="Operational",1,0)</f>
        <v>1</v>
      </c>
      <c r="L502">
        <f t="shared" si="14"/>
        <v>1</v>
      </c>
      <c r="M502" t="str">
        <f t="shared" si="15"/>
        <v>Odisha</v>
      </c>
    </row>
    <row r="503" spans="1:13">
      <c r="A503">
        <v>479349</v>
      </c>
      <c r="B503" t="s">
        <v>38</v>
      </c>
      <c r="C503" t="s">
        <v>12</v>
      </c>
      <c r="D503" t="s">
        <v>20</v>
      </c>
      <c r="E503" t="s">
        <v>13</v>
      </c>
      <c r="F503">
        <v>21.0984032</v>
      </c>
      <c r="G503">
        <v>86.526684200000005</v>
      </c>
      <c r="H503">
        <v>1</v>
      </c>
      <c r="I503" t="s">
        <v>14</v>
      </c>
      <c r="J503" t="s">
        <v>12</v>
      </c>
      <c r="K503">
        <f>IF(tbl_ChargingStation[[#This Row],[status]]="Operational",1,0)</f>
        <v>1</v>
      </c>
      <c r="L503">
        <f t="shared" si="14"/>
        <v>1</v>
      </c>
      <c r="M503" t="str">
        <f t="shared" si="15"/>
        <v>Odisha</v>
      </c>
    </row>
    <row r="504" spans="1:13">
      <c r="A504">
        <v>479348</v>
      </c>
      <c r="B504" t="s">
        <v>24</v>
      </c>
      <c r="C504" t="s">
        <v>12</v>
      </c>
      <c r="D504" t="s">
        <v>20</v>
      </c>
      <c r="E504" t="s">
        <v>13</v>
      </c>
      <c r="F504">
        <v>21.071770999999998</v>
      </c>
      <c r="G504">
        <v>86.498320000000007</v>
      </c>
      <c r="H504">
        <v>1</v>
      </c>
      <c r="I504" t="s">
        <v>14</v>
      </c>
      <c r="J504" t="s">
        <v>12</v>
      </c>
      <c r="K504">
        <f>IF(tbl_ChargingStation[[#This Row],[status]]="Operational",1,0)</f>
        <v>1</v>
      </c>
      <c r="L504">
        <f t="shared" si="14"/>
        <v>1</v>
      </c>
      <c r="M504" t="str">
        <f t="shared" si="15"/>
        <v>Odisha</v>
      </c>
    </row>
    <row r="505" spans="1:13">
      <c r="A505">
        <v>479347</v>
      </c>
      <c r="B505" t="s">
        <v>32</v>
      </c>
      <c r="C505" t="s">
        <v>12</v>
      </c>
      <c r="D505" t="s">
        <v>20</v>
      </c>
      <c r="E505" t="s">
        <v>13</v>
      </c>
      <c r="F505">
        <v>21.070288099999999</v>
      </c>
      <c r="G505">
        <v>86.4970845</v>
      </c>
      <c r="H505">
        <v>1</v>
      </c>
      <c r="I505" t="s">
        <v>14</v>
      </c>
      <c r="J505" t="s">
        <v>12</v>
      </c>
      <c r="K505">
        <f>IF(tbl_ChargingStation[[#This Row],[status]]="Operational",1,0)</f>
        <v>1</v>
      </c>
      <c r="L505">
        <f t="shared" si="14"/>
        <v>1</v>
      </c>
      <c r="M505" t="str">
        <f t="shared" si="15"/>
        <v>Odisha</v>
      </c>
    </row>
    <row r="506" spans="1:13">
      <c r="A506">
        <v>479346</v>
      </c>
      <c r="B506" t="s">
        <v>32</v>
      </c>
      <c r="C506" t="s">
        <v>12</v>
      </c>
      <c r="D506" t="s">
        <v>20</v>
      </c>
      <c r="E506" t="s">
        <v>13</v>
      </c>
      <c r="F506">
        <v>20.9758779</v>
      </c>
      <c r="G506">
        <v>86.401223099999996</v>
      </c>
      <c r="H506">
        <v>1</v>
      </c>
      <c r="I506" t="s">
        <v>14</v>
      </c>
      <c r="J506" t="s">
        <v>12</v>
      </c>
      <c r="K506">
        <f>IF(tbl_ChargingStation[[#This Row],[status]]="Operational",1,0)</f>
        <v>1</v>
      </c>
      <c r="L506">
        <f t="shared" si="14"/>
        <v>1</v>
      </c>
      <c r="M506" t="str">
        <f t="shared" si="15"/>
        <v>Odisha</v>
      </c>
    </row>
    <row r="507" spans="1:13">
      <c r="A507">
        <v>479345</v>
      </c>
      <c r="B507" t="s">
        <v>19</v>
      </c>
      <c r="C507" t="s">
        <v>12</v>
      </c>
      <c r="D507" t="s">
        <v>20</v>
      </c>
      <c r="E507" t="s">
        <v>13</v>
      </c>
      <c r="F507">
        <v>21.06981</v>
      </c>
      <c r="G507">
        <v>86.496256000000002</v>
      </c>
      <c r="H507">
        <v>1</v>
      </c>
      <c r="I507" t="s">
        <v>14</v>
      </c>
      <c r="J507" t="s">
        <v>12</v>
      </c>
      <c r="K507">
        <f>IF(tbl_ChargingStation[[#This Row],[status]]="Operational",1,0)</f>
        <v>1</v>
      </c>
      <c r="L507">
        <f t="shared" si="14"/>
        <v>1</v>
      </c>
      <c r="M507" t="str">
        <f t="shared" si="15"/>
        <v>Odisha</v>
      </c>
    </row>
    <row r="508" spans="1:13">
      <c r="A508">
        <v>479344</v>
      </c>
      <c r="B508" t="s">
        <v>24</v>
      </c>
      <c r="C508" t="s">
        <v>12</v>
      </c>
      <c r="D508" t="s">
        <v>20</v>
      </c>
      <c r="E508" t="s">
        <v>13</v>
      </c>
      <c r="F508">
        <v>21.104305</v>
      </c>
      <c r="G508">
        <v>86.532646</v>
      </c>
      <c r="H508">
        <v>1</v>
      </c>
      <c r="I508" t="s">
        <v>14</v>
      </c>
      <c r="J508" t="s">
        <v>12</v>
      </c>
      <c r="K508">
        <f>IF(tbl_ChargingStation[[#This Row],[status]]="Operational",1,0)</f>
        <v>1</v>
      </c>
      <c r="L508">
        <f t="shared" si="14"/>
        <v>1</v>
      </c>
      <c r="M508" t="str">
        <f t="shared" si="15"/>
        <v>Odisha</v>
      </c>
    </row>
    <row r="509" spans="1:13">
      <c r="A509">
        <v>479343</v>
      </c>
      <c r="B509" t="s">
        <v>24</v>
      </c>
      <c r="C509" t="s">
        <v>12</v>
      </c>
      <c r="D509" t="s">
        <v>20</v>
      </c>
      <c r="E509" t="s">
        <v>13</v>
      </c>
      <c r="F509">
        <v>20.936204799999999</v>
      </c>
      <c r="G509">
        <v>86.164662399999997</v>
      </c>
      <c r="H509">
        <v>1</v>
      </c>
      <c r="I509" t="s">
        <v>14</v>
      </c>
      <c r="J509" t="s">
        <v>12</v>
      </c>
      <c r="K509">
        <f>IF(tbl_ChargingStation[[#This Row],[status]]="Operational",1,0)</f>
        <v>1</v>
      </c>
      <c r="L509">
        <f t="shared" si="14"/>
        <v>1</v>
      </c>
      <c r="M509" t="str">
        <f t="shared" si="15"/>
        <v>Odisha</v>
      </c>
    </row>
    <row r="510" spans="1:13">
      <c r="A510">
        <v>479342</v>
      </c>
      <c r="B510" t="s">
        <v>19</v>
      </c>
      <c r="C510" t="s">
        <v>12</v>
      </c>
      <c r="D510" t="s">
        <v>20</v>
      </c>
      <c r="E510" t="s">
        <v>13</v>
      </c>
      <c r="F510">
        <v>20.918958700000001</v>
      </c>
      <c r="G510">
        <v>86.216968399999999</v>
      </c>
      <c r="H510">
        <v>1</v>
      </c>
      <c r="I510" t="s">
        <v>14</v>
      </c>
      <c r="J510" t="s">
        <v>12</v>
      </c>
      <c r="K510">
        <f>IF(tbl_ChargingStation[[#This Row],[status]]="Operational",1,0)</f>
        <v>1</v>
      </c>
      <c r="L510">
        <f t="shared" si="14"/>
        <v>1</v>
      </c>
      <c r="M510" t="str">
        <f t="shared" si="15"/>
        <v>Odisha</v>
      </c>
    </row>
    <row r="511" spans="1:13">
      <c r="A511">
        <v>479341</v>
      </c>
      <c r="B511" t="s">
        <v>28</v>
      </c>
      <c r="C511" t="s">
        <v>12</v>
      </c>
      <c r="D511" t="s">
        <v>20</v>
      </c>
      <c r="E511" t="s">
        <v>13</v>
      </c>
      <c r="F511">
        <v>20.986724200000001</v>
      </c>
      <c r="G511">
        <v>85.989196000000007</v>
      </c>
      <c r="H511">
        <v>1</v>
      </c>
      <c r="I511" t="s">
        <v>14</v>
      </c>
      <c r="J511" t="s">
        <v>12</v>
      </c>
      <c r="K511">
        <f>IF(tbl_ChargingStation[[#This Row],[status]]="Operational",1,0)</f>
        <v>1</v>
      </c>
      <c r="L511">
        <f t="shared" si="14"/>
        <v>1</v>
      </c>
      <c r="M511" t="str">
        <f t="shared" si="15"/>
        <v>Odisha</v>
      </c>
    </row>
    <row r="512" spans="1:13">
      <c r="A512">
        <v>479340</v>
      </c>
      <c r="B512" t="s">
        <v>19</v>
      </c>
      <c r="C512" t="s">
        <v>12</v>
      </c>
      <c r="D512" t="s">
        <v>20</v>
      </c>
      <c r="E512" t="s">
        <v>13</v>
      </c>
      <c r="F512">
        <v>20.950256199999998</v>
      </c>
      <c r="G512">
        <v>85.989752999999993</v>
      </c>
      <c r="H512">
        <v>1</v>
      </c>
      <c r="I512" t="s">
        <v>14</v>
      </c>
      <c r="J512" t="s">
        <v>12</v>
      </c>
      <c r="K512">
        <f>IF(tbl_ChargingStation[[#This Row],[status]]="Operational",1,0)</f>
        <v>1</v>
      </c>
      <c r="L512">
        <f t="shared" si="14"/>
        <v>1</v>
      </c>
      <c r="M512" t="str">
        <f t="shared" si="15"/>
        <v>Odisha</v>
      </c>
    </row>
    <row r="513" spans="1:13">
      <c r="A513">
        <v>479339</v>
      </c>
      <c r="B513" t="s">
        <v>29</v>
      </c>
      <c r="C513" t="s">
        <v>12</v>
      </c>
      <c r="D513" t="s">
        <v>20</v>
      </c>
      <c r="E513" t="s">
        <v>13</v>
      </c>
      <c r="F513">
        <v>21.068530800000001</v>
      </c>
      <c r="G513">
        <v>82.361732599999996</v>
      </c>
      <c r="H513">
        <v>1</v>
      </c>
      <c r="I513" t="s">
        <v>14</v>
      </c>
      <c r="J513" t="s">
        <v>12</v>
      </c>
      <c r="K513">
        <f>IF(tbl_ChargingStation[[#This Row],[status]]="Operational",1,0)</f>
        <v>1</v>
      </c>
      <c r="L513">
        <f t="shared" si="14"/>
        <v>1</v>
      </c>
      <c r="M513" t="str">
        <f t="shared" si="15"/>
        <v>Odisha</v>
      </c>
    </row>
    <row r="514" spans="1:13">
      <c r="A514">
        <v>479338</v>
      </c>
      <c r="B514" t="s">
        <v>39</v>
      </c>
      <c r="C514" t="s">
        <v>12</v>
      </c>
      <c r="D514" t="s">
        <v>20</v>
      </c>
      <c r="E514" t="s">
        <v>13</v>
      </c>
      <c r="F514">
        <v>21.163620600000002</v>
      </c>
      <c r="G514">
        <v>81.788358000000002</v>
      </c>
      <c r="H514">
        <v>1</v>
      </c>
      <c r="I514" t="s">
        <v>14</v>
      </c>
      <c r="J514" t="s">
        <v>12</v>
      </c>
      <c r="K514">
        <f>IF(tbl_ChargingStation[[#This Row],[status]]="Operational",1,0)</f>
        <v>1</v>
      </c>
      <c r="L514">
        <f t="shared" ref="L514:L577" si="16">H514*K514</f>
        <v>1</v>
      </c>
      <c r="M514" t="str">
        <f t="shared" ref="M514:M577" si="17">IF(D514="GJ","Gujarat",IF(OR(D514="Keral",D514="Keraka",D514="Lerala"),"Kerala",IF(D514="MH","Maharashtra",IF(D514="MP","Madhya Pradesh",IF(D514="RJ","Rajasthan",IF(D514="TAMILNADU","Tamil Nadu",IF(D514="Uttarakhnad","Uttarakhand",D514)))))))</f>
        <v>Odisha</v>
      </c>
    </row>
    <row r="515" spans="1:13">
      <c r="A515">
        <v>479337</v>
      </c>
      <c r="B515" t="s">
        <v>19</v>
      </c>
      <c r="C515" t="s">
        <v>12</v>
      </c>
      <c r="D515" t="s">
        <v>20</v>
      </c>
      <c r="E515" t="s">
        <v>13</v>
      </c>
      <c r="F515">
        <v>21.161282100000001</v>
      </c>
      <c r="G515">
        <v>81.796672000000001</v>
      </c>
      <c r="H515">
        <v>1</v>
      </c>
      <c r="I515" t="s">
        <v>14</v>
      </c>
      <c r="J515" t="s">
        <v>12</v>
      </c>
      <c r="K515">
        <f>IF(tbl_ChargingStation[[#This Row],[status]]="Operational",1,0)</f>
        <v>1</v>
      </c>
      <c r="L515">
        <f t="shared" si="16"/>
        <v>1</v>
      </c>
      <c r="M515" t="str">
        <f t="shared" si="17"/>
        <v>Odisha</v>
      </c>
    </row>
    <row r="516" spans="1:13">
      <c r="A516">
        <v>479336</v>
      </c>
      <c r="B516" t="s">
        <v>39</v>
      </c>
      <c r="C516" t="s">
        <v>12</v>
      </c>
      <c r="D516" t="s">
        <v>20</v>
      </c>
      <c r="E516" t="s">
        <v>13</v>
      </c>
      <c r="F516">
        <v>21.161336800000001</v>
      </c>
      <c r="G516">
        <v>81.796447599999993</v>
      </c>
      <c r="H516">
        <v>1</v>
      </c>
      <c r="I516" t="s">
        <v>14</v>
      </c>
      <c r="J516" t="s">
        <v>12</v>
      </c>
      <c r="K516">
        <f>IF(tbl_ChargingStation[[#This Row],[status]]="Operational",1,0)</f>
        <v>1</v>
      </c>
      <c r="L516">
        <f t="shared" si="16"/>
        <v>1</v>
      </c>
      <c r="M516" t="str">
        <f t="shared" si="17"/>
        <v>Odisha</v>
      </c>
    </row>
    <row r="517" spans="1:13">
      <c r="A517">
        <v>479335</v>
      </c>
      <c r="B517" t="s">
        <v>29</v>
      </c>
      <c r="C517" t="s">
        <v>12</v>
      </c>
      <c r="D517" t="s">
        <v>20</v>
      </c>
      <c r="E517" t="s">
        <v>13</v>
      </c>
      <c r="F517">
        <v>21.0784588</v>
      </c>
      <c r="G517">
        <v>81.751865899999999</v>
      </c>
      <c r="H517">
        <v>1</v>
      </c>
      <c r="I517" t="s">
        <v>14</v>
      </c>
      <c r="J517" t="s">
        <v>12</v>
      </c>
      <c r="K517">
        <f>IF(tbl_ChargingStation[[#This Row],[status]]="Operational",1,0)</f>
        <v>1</v>
      </c>
      <c r="L517">
        <f t="shared" si="16"/>
        <v>1</v>
      </c>
      <c r="M517" t="str">
        <f t="shared" si="17"/>
        <v>Odisha</v>
      </c>
    </row>
    <row r="518" spans="1:13">
      <c r="A518">
        <v>479334</v>
      </c>
      <c r="B518" t="s">
        <v>24</v>
      </c>
      <c r="C518" t="s">
        <v>12</v>
      </c>
      <c r="D518" t="s">
        <v>20</v>
      </c>
      <c r="E518" t="s">
        <v>13</v>
      </c>
      <c r="F518">
        <v>21.134089500000002</v>
      </c>
      <c r="G518">
        <v>81.772353899999999</v>
      </c>
      <c r="H518">
        <v>1</v>
      </c>
      <c r="I518" t="s">
        <v>14</v>
      </c>
      <c r="J518" t="s">
        <v>12</v>
      </c>
      <c r="K518">
        <f>IF(tbl_ChargingStation[[#This Row],[status]]="Operational",1,0)</f>
        <v>1</v>
      </c>
      <c r="L518">
        <f t="shared" si="16"/>
        <v>1</v>
      </c>
      <c r="M518" t="str">
        <f t="shared" si="17"/>
        <v>Odisha</v>
      </c>
    </row>
    <row r="519" spans="1:13">
      <c r="A519">
        <v>479333</v>
      </c>
      <c r="B519" t="s">
        <v>29</v>
      </c>
      <c r="C519" t="s">
        <v>12</v>
      </c>
      <c r="D519" t="s">
        <v>20</v>
      </c>
      <c r="E519" t="s">
        <v>13</v>
      </c>
      <c r="F519">
        <v>21.043510099999999</v>
      </c>
      <c r="G519">
        <v>81.732074699999998</v>
      </c>
      <c r="H519">
        <v>1</v>
      </c>
      <c r="I519" t="s">
        <v>14</v>
      </c>
      <c r="J519" t="s">
        <v>12</v>
      </c>
      <c r="K519">
        <f>IF(tbl_ChargingStation[[#This Row],[status]]="Operational",1,0)</f>
        <v>1</v>
      </c>
      <c r="L519">
        <f t="shared" si="16"/>
        <v>1</v>
      </c>
      <c r="M519" t="str">
        <f t="shared" si="17"/>
        <v>Odisha</v>
      </c>
    </row>
    <row r="520" spans="1:13">
      <c r="A520">
        <v>479332</v>
      </c>
      <c r="B520" t="s">
        <v>40</v>
      </c>
      <c r="C520" t="s">
        <v>12</v>
      </c>
      <c r="D520" t="s">
        <v>20</v>
      </c>
      <c r="E520" t="s">
        <v>13</v>
      </c>
      <c r="F520">
        <v>21.047829400000001</v>
      </c>
      <c r="G520">
        <v>81.533177800000004</v>
      </c>
      <c r="H520">
        <v>1</v>
      </c>
      <c r="I520" t="s">
        <v>14</v>
      </c>
      <c r="J520" t="s">
        <v>12</v>
      </c>
      <c r="K520">
        <f>IF(tbl_ChargingStation[[#This Row],[status]]="Operational",1,0)</f>
        <v>1</v>
      </c>
      <c r="L520">
        <f t="shared" si="16"/>
        <v>1</v>
      </c>
      <c r="M520" t="str">
        <f t="shared" si="17"/>
        <v>Odisha</v>
      </c>
    </row>
    <row r="521" spans="1:13">
      <c r="A521">
        <v>479331</v>
      </c>
      <c r="B521" t="s">
        <v>28</v>
      </c>
      <c r="C521" t="s">
        <v>12</v>
      </c>
      <c r="D521" t="s">
        <v>20</v>
      </c>
      <c r="E521" t="s">
        <v>13</v>
      </c>
      <c r="F521">
        <v>21.035982000000001</v>
      </c>
      <c r="G521">
        <v>81.546132200000002</v>
      </c>
      <c r="H521">
        <v>1</v>
      </c>
      <c r="I521" t="s">
        <v>41</v>
      </c>
      <c r="J521" t="s">
        <v>12</v>
      </c>
      <c r="K521">
        <f>IF(tbl_ChargingStation[[#This Row],[status]]="Operational",1,0)</f>
        <v>0</v>
      </c>
      <c r="L521">
        <f t="shared" si="16"/>
        <v>0</v>
      </c>
      <c r="M521" t="str">
        <f t="shared" si="17"/>
        <v>Odisha</v>
      </c>
    </row>
    <row r="522" spans="1:13">
      <c r="A522">
        <v>479329</v>
      </c>
      <c r="B522" t="s">
        <v>22</v>
      </c>
      <c r="C522" t="s">
        <v>12</v>
      </c>
      <c r="D522" t="s">
        <v>20</v>
      </c>
      <c r="E522" t="s">
        <v>13</v>
      </c>
      <c r="F522">
        <v>20.838153999999999</v>
      </c>
      <c r="G522">
        <v>86.308423000000005</v>
      </c>
      <c r="H522">
        <v>1</v>
      </c>
      <c r="I522" t="s">
        <v>14</v>
      </c>
      <c r="J522" t="s">
        <v>12</v>
      </c>
      <c r="K522">
        <f>IF(tbl_ChargingStation[[#This Row],[status]]="Operational",1,0)</f>
        <v>1</v>
      </c>
      <c r="L522">
        <f t="shared" si="16"/>
        <v>1</v>
      </c>
      <c r="M522" t="str">
        <f t="shared" si="17"/>
        <v>Odisha</v>
      </c>
    </row>
    <row r="523" spans="1:13">
      <c r="A523">
        <v>479328</v>
      </c>
      <c r="B523" t="s">
        <v>24</v>
      </c>
      <c r="C523" t="s">
        <v>12</v>
      </c>
      <c r="D523" t="s">
        <v>20</v>
      </c>
      <c r="E523" t="s">
        <v>13</v>
      </c>
      <c r="F523">
        <v>20.703937100000001</v>
      </c>
      <c r="G523">
        <v>86.134196399999993</v>
      </c>
      <c r="H523">
        <v>1</v>
      </c>
      <c r="I523" t="s">
        <v>14</v>
      </c>
      <c r="J523" t="s">
        <v>12</v>
      </c>
      <c r="K523">
        <f>IF(tbl_ChargingStation[[#This Row],[status]]="Operational",1,0)</f>
        <v>1</v>
      </c>
      <c r="L523">
        <f t="shared" si="16"/>
        <v>1</v>
      </c>
      <c r="M523" t="str">
        <f t="shared" si="17"/>
        <v>Odisha</v>
      </c>
    </row>
    <row r="524" spans="1:13">
      <c r="A524">
        <v>479327</v>
      </c>
      <c r="B524" t="s">
        <v>32</v>
      </c>
      <c r="C524" t="s">
        <v>12</v>
      </c>
      <c r="D524" t="s">
        <v>20</v>
      </c>
      <c r="E524" t="s">
        <v>13</v>
      </c>
      <c r="F524">
        <v>20.752399</v>
      </c>
      <c r="G524">
        <v>86.150857000000002</v>
      </c>
      <c r="H524">
        <v>1</v>
      </c>
      <c r="I524" t="s">
        <v>14</v>
      </c>
      <c r="J524" t="s">
        <v>12</v>
      </c>
      <c r="K524">
        <f>IF(tbl_ChargingStation[[#This Row],[status]]="Operational",1,0)</f>
        <v>1</v>
      </c>
      <c r="L524">
        <f t="shared" si="16"/>
        <v>1</v>
      </c>
      <c r="M524" t="str">
        <f t="shared" si="17"/>
        <v>Odisha</v>
      </c>
    </row>
    <row r="525" spans="1:13">
      <c r="A525">
        <v>479326</v>
      </c>
      <c r="B525" t="s">
        <v>28</v>
      </c>
      <c r="C525" t="s">
        <v>12</v>
      </c>
      <c r="D525" t="s">
        <v>20</v>
      </c>
      <c r="E525" t="s">
        <v>13</v>
      </c>
      <c r="F525">
        <v>20.6581671</v>
      </c>
      <c r="G525">
        <v>86.117313800000005</v>
      </c>
      <c r="H525">
        <v>1</v>
      </c>
      <c r="I525" t="s">
        <v>14</v>
      </c>
      <c r="J525" t="s">
        <v>12</v>
      </c>
      <c r="K525">
        <f>IF(tbl_ChargingStation[[#This Row],[status]]="Operational",1,0)</f>
        <v>1</v>
      </c>
      <c r="L525">
        <f t="shared" si="16"/>
        <v>1</v>
      </c>
      <c r="M525" t="str">
        <f t="shared" si="17"/>
        <v>Odisha</v>
      </c>
    </row>
    <row r="526" spans="1:13">
      <c r="A526">
        <v>479325</v>
      </c>
      <c r="B526" t="s">
        <v>42</v>
      </c>
      <c r="C526" t="s">
        <v>12</v>
      </c>
      <c r="D526" t="s">
        <v>20</v>
      </c>
      <c r="E526" t="s">
        <v>13</v>
      </c>
      <c r="F526">
        <v>20.694237900000001</v>
      </c>
      <c r="G526">
        <v>86.132879299999999</v>
      </c>
      <c r="H526">
        <v>1</v>
      </c>
      <c r="I526" t="s">
        <v>14</v>
      </c>
      <c r="J526" t="s">
        <v>12</v>
      </c>
      <c r="K526">
        <f>IF(tbl_ChargingStation[[#This Row],[status]]="Operational",1,0)</f>
        <v>1</v>
      </c>
      <c r="L526">
        <f t="shared" si="16"/>
        <v>1</v>
      </c>
      <c r="M526" t="str">
        <f t="shared" si="17"/>
        <v>Odisha</v>
      </c>
    </row>
    <row r="527" spans="1:13">
      <c r="A527">
        <v>479324</v>
      </c>
      <c r="B527" t="s">
        <v>29</v>
      </c>
      <c r="C527" t="s">
        <v>12</v>
      </c>
      <c r="D527" t="s">
        <v>20</v>
      </c>
      <c r="E527" t="s">
        <v>13</v>
      </c>
      <c r="F527">
        <v>20.656229</v>
      </c>
      <c r="G527">
        <v>86.112808999999999</v>
      </c>
      <c r="H527">
        <v>1</v>
      </c>
      <c r="I527" t="s">
        <v>14</v>
      </c>
      <c r="J527" t="s">
        <v>12</v>
      </c>
      <c r="K527">
        <f>IF(tbl_ChargingStation[[#This Row],[status]]="Operational",1,0)</f>
        <v>1</v>
      </c>
      <c r="L527">
        <f t="shared" si="16"/>
        <v>1</v>
      </c>
      <c r="M527" t="str">
        <f t="shared" si="17"/>
        <v>Odisha</v>
      </c>
    </row>
    <row r="528" spans="1:13">
      <c r="A528">
        <v>479323</v>
      </c>
      <c r="B528" t="s">
        <v>24</v>
      </c>
      <c r="C528" t="s">
        <v>12</v>
      </c>
      <c r="D528" t="s">
        <v>20</v>
      </c>
      <c r="E528" t="s">
        <v>13</v>
      </c>
      <c r="F528">
        <v>20.669519900000001</v>
      </c>
      <c r="G528">
        <v>85.592293299999994</v>
      </c>
      <c r="H528">
        <v>1</v>
      </c>
      <c r="I528" t="s">
        <v>14</v>
      </c>
      <c r="J528" t="s">
        <v>12</v>
      </c>
      <c r="K528">
        <f>IF(tbl_ChargingStation[[#This Row],[status]]="Operational",1,0)</f>
        <v>1</v>
      </c>
      <c r="L528">
        <f t="shared" si="16"/>
        <v>1</v>
      </c>
      <c r="M528" t="str">
        <f t="shared" si="17"/>
        <v>Odisha</v>
      </c>
    </row>
    <row r="529" spans="1:13">
      <c r="A529">
        <v>479322</v>
      </c>
      <c r="B529" t="s">
        <v>23</v>
      </c>
      <c r="C529" t="s">
        <v>12</v>
      </c>
      <c r="D529" t="s">
        <v>20</v>
      </c>
      <c r="E529" t="s">
        <v>13</v>
      </c>
      <c r="F529">
        <v>20.8014756</v>
      </c>
      <c r="G529">
        <v>85.543470200000002</v>
      </c>
      <c r="H529">
        <v>1</v>
      </c>
      <c r="I529" t="s">
        <v>14</v>
      </c>
      <c r="J529" t="s">
        <v>12</v>
      </c>
      <c r="K529">
        <f>IF(tbl_ChargingStation[[#This Row],[status]]="Operational",1,0)</f>
        <v>1</v>
      </c>
      <c r="L529">
        <f t="shared" si="16"/>
        <v>1</v>
      </c>
      <c r="M529" t="str">
        <f t="shared" si="17"/>
        <v>Odisha</v>
      </c>
    </row>
    <row r="530" spans="1:13">
      <c r="A530">
        <v>479321</v>
      </c>
      <c r="B530" t="s">
        <v>19</v>
      </c>
      <c r="C530" t="s">
        <v>12</v>
      </c>
      <c r="D530" t="s">
        <v>20</v>
      </c>
      <c r="E530" t="s">
        <v>13</v>
      </c>
      <c r="F530">
        <v>20.831755699999999</v>
      </c>
      <c r="G530">
        <v>85.241660300000007</v>
      </c>
      <c r="H530">
        <v>1</v>
      </c>
      <c r="I530" t="s">
        <v>14</v>
      </c>
      <c r="J530" t="s">
        <v>12</v>
      </c>
      <c r="K530">
        <f>IF(tbl_ChargingStation[[#This Row],[status]]="Operational",1,0)</f>
        <v>1</v>
      </c>
      <c r="L530">
        <f t="shared" si="16"/>
        <v>1</v>
      </c>
      <c r="M530" t="str">
        <f t="shared" si="17"/>
        <v>Odisha</v>
      </c>
    </row>
    <row r="531" spans="1:13">
      <c r="A531">
        <v>479320</v>
      </c>
      <c r="B531" t="s">
        <v>43</v>
      </c>
      <c r="C531" t="s">
        <v>12</v>
      </c>
      <c r="D531" t="s">
        <v>20</v>
      </c>
      <c r="E531" t="s">
        <v>13</v>
      </c>
      <c r="F531">
        <v>20.831735200000001</v>
      </c>
      <c r="G531">
        <v>85.241658599999994</v>
      </c>
      <c r="H531">
        <v>1</v>
      </c>
      <c r="I531" t="s">
        <v>14</v>
      </c>
      <c r="J531" t="s">
        <v>12</v>
      </c>
      <c r="K531">
        <f>IF(tbl_ChargingStation[[#This Row],[status]]="Operational",1,0)</f>
        <v>1</v>
      </c>
      <c r="L531">
        <f t="shared" si="16"/>
        <v>1</v>
      </c>
      <c r="M531" t="str">
        <f t="shared" si="17"/>
        <v>Odisha</v>
      </c>
    </row>
    <row r="532" spans="1:13">
      <c r="A532">
        <v>479319</v>
      </c>
      <c r="B532" t="s">
        <v>44</v>
      </c>
      <c r="C532" t="s">
        <v>12</v>
      </c>
      <c r="D532" t="s">
        <v>20</v>
      </c>
      <c r="E532" t="s">
        <v>13</v>
      </c>
      <c r="F532">
        <v>20.832793200000001</v>
      </c>
      <c r="G532">
        <v>85.238288600000004</v>
      </c>
      <c r="H532">
        <v>1</v>
      </c>
      <c r="I532" t="s">
        <v>14</v>
      </c>
      <c r="J532" t="s">
        <v>12</v>
      </c>
      <c r="K532">
        <f>IF(tbl_ChargingStation[[#This Row],[status]]="Operational",1,0)</f>
        <v>1</v>
      </c>
      <c r="L532">
        <f t="shared" si="16"/>
        <v>1</v>
      </c>
      <c r="M532" t="str">
        <f t="shared" si="17"/>
        <v>Odisha</v>
      </c>
    </row>
    <row r="533" spans="1:13">
      <c r="A533">
        <v>479318</v>
      </c>
      <c r="B533" t="s">
        <v>24</v>
      </c>
      <c r="C533" t="s">
        <v>12</v>
      </c>
      <c r="D533" t="s">
        <v>20</v>
      </c>
      <c r="E533" t="s">
        <v>13</v>
      </c>
      <c r="F533">
        <v>20.832794</v>
      </c>
      <c r="G533">
        <v>85.085235999999995</v>
      </c>
      <c r="H533">
        <v>1</v>
      </c>
      <c r="I533" t="s">
        <v>14</v>
      </c>
      <c r="J533" t="s">
        <v>12</v>
      </c>
      <c r="K533">
        <f>IF(tbl_ChargingStation[[#This Row],[status]]="Operational",1,0)</f>
        <v>1</v>
      </c>
      <c r="L533">
        <f t="shared" si="16"/>
        <v>1</v>
      </c>
      <c r="M533" t="str">
        <f t="shared" si="17"/>
        <v>Odisha</v>
      </c>
    </row>
    <row r="534" spans="1:13">
      <c r="A534">
        <v>479316</v>
      </c>
      <c r="B534" t="s">
        <v>21</v>
      </c>
      <c r="C534" t="s">
        <v>12</v>
      </c>
      <c r="D534" t="s">
        <v>20</v>
      </c>
      <c r="E534" t="s">
        <v>13</v>
      </c>
      <c r="F534">
        <v>20.823510899999999</v>
      </c>
      <c r="G534">
        <v>85.0620926</v>
      </c>
      <c r="H534">
        <v>1</v>
      </c>
      <c r="I534" t="s">
        <v>14</v>
      </c>
      <c r="J534" t="s">
        <v>12</v>
      </c>
      <c r="K534">
        <f>IF(tbl_ChargingStation[[#This Row],[status]]="Operational",1,0)</f>
        <v>1</v>
      </c>
      <c r="L534">
        <f t="shared" si="16"/>
        <v>1</v>
      </c>
      <c r="M534" t="str">
        <f t="shared" si="17"/>
        <v>Odisha</v>
      </c>
    </row>
    <row r="535" spans="1:13">
      <c r="A535">
        <v>479315</v>
      </c>
      <c r="B535" t="s">
        <v>22</v>
      </c>
      <c r="C535" t="s">
        <v>12</v>
      </c>
      <c r="D535" t="s">
        <v>20</v>
      </c>
      <c r="E535" t="s">
        <v>13</v>
      </c>
      <c r="F535">
        <v>20.823407899999999</v>
      </c>
      <c r="G535">
        <v>85.062049900000005</v>
      </c>
      <c r="H535">
        <v>1</v>
      </c>
      <c r="I535" t="s">
        <v>14</v>
      </c>
      <c r="J535" t="s">
        <v>12</v>
      </c>
      <c r="K535">
        <f>IF(tbl_ChargingStation[[#This Row],[status]]="Operational",1,0)</f>
        <v>1</v>
      </c>
      <c r="L535">
        <f t="shared" si="16"/>
        <v>1</v>
      </c>
      <c r="M535" t="str">
        <f t="shared" si="17"/>
        <v>Odisha</v>
      </c>
    </row>
    <row r="536" spans="1:13">
      <c r="A536">
        <v>479314</v>
      </c>
      <c r="B536" t="s">
        <v>23</v>
      </c>
      <c r="C536" t="s">
        <v>12</v>
      </c>
      <c r="D536" t="s">
        <v>20</v>
      </c>
      <c r="E536" t="s">
        <v>13</v>
      </c>
      <c r="F536">
        <v>20.80489</v>
      </c>
      <c r="G536">
        <v>84.033990000000003</v>
      </c>
      <c r="H536">
        <v>1</v>
      </c>
      <c r="I536" t="s">
        <v>14</v>
      </c>
      <c r="J536" t="s">
        <v>12</v>
      </c>
      <c r="K536">
        <f>IF(tbl_ChargingStation[[#This Row],[status]]="Operational",1,0)</f>
        <v>1</v>
      </c>
      <c r="L536">
        <f t="shared" si="16"/>
        <v>1</v>
      </c>
      <c r="M536" t="str">
        <f t="shared" si="17"/>
        <v>Odisha</v>
      </c>
    </row>
    <row r="537" spans="1:13">
      <c r="A537">
        <v>479313</v>
      </c>
      <c r="B537" t="s">
        <v>28</v>
      </c>
      <c r="C537" t="s">
        <v>12</v>
      </c>
      <c r="D537" t="s">
        <v>20</v>
      </c>
      <c r="E537" t="s">
        <v>13</v>
      </c>
      <c r="F537">
        <v>20.857754100000001</v>
      </c>
      <c r="G537">
        <v>83.944182100000006</v>
      </c>
      <c r="H537">
        <v>1</v>
      </c>
      <c r="I537" t="s">
        <v>14</v>
      </c>
      <c r="J537" t="s">
        <v>12</v>
      </c>
      <c r="K537">
        <f>IF(tbl_ChargingStation[[#This Row],[status]]="Operational",1,0)</f>
        <v>1</v>
      </c>
      <c r="L537">
        <f t="shared" si="16"/>
        <v>1</v>
      </c>
      <c r="M537" t="str">
        <f t="shared" si="17"/>
        <v>Odisha</v>
      </c>
    </row>
    <row r="538" spans="1:13">
      <c r="A538">
        <v>479312</v>
      </c>
      <c r="B538" t="s">
        <v>28</v>
      </c>
      <c r="C538" t="s">
        <v>12</v>
      </c>
      <c r="D538" t="s">
        <v>20</v>
      </c>
      <c r="E538" t="s">
        <v>13</v>
      </c>
      <c r="F538">
        <v>20.847186099999998</v>
      </c>
      <c r="G538">
        <v>83.894135000000006</v>
      </c>
      <c r="H538">
        <v>1</v>
      </c>
      <c r="I538" t="s">
        <v>14</v>
      </c>
      <c r="J538" t="s">
        <v>12</v>
      </c>
      <c r="K538">
        <f>IF(tbl_ChargingStation[[#This Row],[status]]="Operational",1,0)</f>
        <v>1</v>
      </c>
      <c r="L538">
        <f t="shared" si="16"/>
        <v>1</v>
      </c>
      <c r="M538" t="str">
        <f t="shared" si="17"/>
        <v>Odisha</v>
      </c>
    </row>
    <row r="539" spans="1:13">
      <c r="A539">
        <v>479311</v>
      </c>
      <c r="B539" t="s">
        <v>19</v>
      </c>
      <c r="C539" t="s">
        <v>12</v>
      </c>
      <c r="D539" t="s">
        <v>20</v>
      </c>
      <c r="E539" t="s">
        <v>13</v>
      </c>
      <c r="F539">
        <v>20.7425344</v>
      </c>
      <c r="G539">
        <v>81.5791428</v>
      </c>
      <c r="H539">
        <v>1</v>
      </c>
      <c r="I539" t="s">
        <v>14</v>
      </c>
      <c r="J539" t="s">
        <v>12</v>
      </c>
      <c r="K539">
        <f>IF(tbl_ChargingStation[[#This Row],[status]]="Operational",1,0)</f>
        <v>1</v>
      </c>
      <c r="L539">
        <f t="shared" si="16"/>
        <v>1</v>
      </c>
      <c r="M539" t="str">
        <f t="shared" si="17"/>
        <v>Odisha</v>
      </c>
    </row>
    <row r="540" spans="1:13">
      <c r="A540">
        <v>479310</v>
      </c>
      <c r="B540" t="s">
        <v>29</v>
      </c>
      <c r="C540" t="s">
        <v>12</v>
      </c>
      <c r="D540" t="s">
        <v>20</v>
      </c>
      <c r="E540" t="s">
        <v>13</v>
      </c>
      <c r="F540">
        <v>20.817084999999999</v>
      </c>
      <c r="G540">
        <v>81.682810200000006</v>
      </c>
      <c r="H540">
        <v>1</v>
      </c>
      <c r="I540" t="s">
        <v>14</v>
      </c>
      <c r="J540" t="s">
        <v>12</v>
      </c>
      <c r="K540">
        <f>IF(tbl_ChargingStation[[#This Row],[status]]="Operational",1,0)</f>
        <v>1</v>
      </c>
      <c r="L540">
        <f t="shared" si="16"/>
        <v>1</v>
      </c>
      <c r="M540" t="str">
        <f t="shared" si="17"/>
        <v>Odisha</v>
      </c>
    </row>
    <row r="541" spans="1:13">
      <c r="A541">
        <v>479309</v>
      </c>
      <c r="B541" t="s">
        <v>24</v>
      </c>
      <c r="C541" t="s">
        <v>12</v>
      </c>
      <c r="D541" t="s">
        <v>20</v>
      </c>
      <c r="E541" t="s">
        <v>13</v>
      </c>
      <c r="F541">
        <v>20.530715300000001</v>
      </c>
      <c r="G541">
        <v>86.357933299999999</v>
      </c>
      <c r="H541">
        <v>1</v>
      </c>
      <c r="I541" t="s">
        <v>14</v>
      </c>
      <c r="J541" t="s">
        <v>12</v>
      </c>
      <c r="K541">
        <f>IF(tbl_ChargingStation[[#This Row],[status]]="Operational",1,0)</f>
        <v>1</v>
      </c>
      <c r="L541">
        <f t="shared" si="16"/>
        <v>1</v>
      </c>
      <c r="M541" t="str">
        <f t="shared" si="17"/>
        <v>Odisha</v>
      </c>
    </row>
    <row r="542" spans="1:13">
      <c r="A542">
        <v>479308</v>
      </c>
      <c r="B542" t="s">
        <v>45</v>
      </c>
      <c r="C542" t="s">
        <v>12</v>
      </c>
      <c r="D542" t="s">
        <v>20</v>
      </c>
      <c r="E542" t="s">
        <v>13</v>
      </c>
      <c r="F542">
        <v>20.4209459</v>
      </c>
      <c r="G542">
        <v>86.090303800000001</v>
      </c>
      <c r="H542">
        <v>1</v>
      </c>
      <c r="I542" t="s">
        <v>14</v>
      </c>
      <c r="J542" t="s">
        <v>12</v>
      </c>
      <c r="K542">
        <f>IF(tbl_ChargingStation[[#This Row],[status]]="Operational",1,0)</f>
        <v>1</v>
      </c>
      <c r="L542">
        <f t="shared" si="16"/>
        <v>1</v>
      </c>
      <c r="M542" t="str">
        <f t="shared" si="17"/>
        <v>Odisha</v>
      </c>
    </row>
    <row r="543" spans="1:13">
      <c r="A543">
        <v>479307</v>
      </c>
      <c r="B543" t="s">
        <v>34</v>
      </c>
      <c r="C543" t="s">
        <v>12</v>
      </c>
      <c r="D543" t="s">
        <v>20</v>
      </c>
      <c r="E543" t="s">
        <v>13</v>
      </c>
      <c r="F543">
        <v>20.482358900000001</v>
      </c>
      <c r="G543">
        <v>86.058158800000001</v>
      </c>
      <c r="H543">
        <v>1</v>
      </c>
      <c r="I543" t="s">
        <v>14</v>
      </c>
      <c r="J543" t="s">
        <v>12</v>
      </c>
      <c r="K543">
        <f>IF(tbl_ChargingStation[[#This Row],[status]]="Operational",1,0)</f>
        <v>1</v>
      </c>
      <c r="L543">
        <f t="shared" si="16"/>
        <v>1</v>
      </c>
      <c r="M543" t="str">
        <f t="shared" si="17"/>
        <v>Odisha</v>
      </c>
    </row>
    <row r="544" spans="1:13">
      <c r="A544">
        <v>479306</v>
      </c>
      <c r="B544" t="s">
        <v>19</v>
      </c>
      <c r="C544" t="s">
        <v>12</v>
      </c>
      <c r="D544" t="s">
        <v>20</v>
      </c>
      <c r="E544" t="s">
        <v>13</v>
      </c>
      <c r="F544">
        <v>20.370249699999999</v>
      </c>
      <c r="G544">
        <v>85.890974499999999</v>
      </c>
      <c r="H544">
        <v>1</v>
      </c>
      <c r="I544" t="s">
        <v>14</v>
      </c>
      <c r="J544" t="s">
        <v>12</v>
      </c>
      <c r="K544">
        <f>IF(tbl_ChargingStation[[#This Row],[status]]="Operational",1,0)</f>
        <v>1</v>
      </c>
      <c r="L544">
        <f t="shared" si="16"/>
        <v>1</v>
      </c>
      <c r="M544" t="str">
        <f t="shared" si="17"/>
        <v>Odisha</v>
      </c>
    </row>
    <row r="545" spans="1:13">
      <c r="A545">
        <v>479305</v>
      </c>
      <c r="B545" t="s">
        <v>24</v>
      </c>
      <c r="C545" t="s">
        <v>12</v>
      </c>
      <c r="D545" t="s">
        <v>20</v>
      </c>
      <c r="E545" t="s">
        <v>13</v>
      </c>
      <c r="F545">
        <v>20.491886000000001</v>
      </c>
      <c r="G545">
        <v>85.935270000000003</v>
      </c>
      <c r="H545">
        <v>1</v>
      </c>
      <c r="I545" t="s">
        <v>14</v>
      </c>
      <c r="J545" t="s">
        <v>12</v>
      </c>
      <c r="K545">
        <f>IF(tbl_ChargingStation[[#This Row],[status]]="Operational",1,0)</f>
        <v>1</v>
      </c>
      <c r="L545">
        <f t="shared" si="16"/>
        <v>1</v>
      </c>
      <c r="M545" t="str">
        <f t="shared" si="17"/>
        <v>Odisha</v>
      </c>
    </row>
    <row r="546" spans="1:13">
      <c r="A546">
        <v>479304</v>
      </c>
      <c r="B546" t="s">
        <v>24</v>
      </c>
      <c r="C546" t="s">
        <v>12</v>
      </c>
      <c r="D546" t="s">
        <v>20</v>
      </c>
      <c r="E546" t="s">
        <v>13</v>
      </c>
      <c r="F546">
        <v>20.4791192</v>
      </c>
      <c r="G546">
        <v>85.839822299999994</v>
      </c>
      <c r="H546">
        <v>1</v>
      </c>
      <c r="I546" t="s">
        <v>41</v>
      </c>
      <c r="J546" t="s">
        <v>12</v>
      </c>
      <c r="K546">
        <f>IF(tbl_ChargingStation[[#This Row],[status]]="Operational",1,0)</f>
        <v>0</v>
      </c>
      <c r="L546">
        <f t="shared" si="16"/>
        <v>0</v>
      </c>
      <c r="M546" t="str">
        <f t="shared" si="17"/>
        <v>Odisha</v>
      </c>
    </row>
    <row r="547" spans="1:13">
      <c r="A547">
        <v>479303</v>
      </c>
      <c r="B547" t="s">
        <v>19</v>
      </c>
      <c r="C547" t="s">
        <v>12</v>
      </c>
      <c r="D547" t="s">
        <v>20</v>
      </c>
      <c r="E547" t="s">
        <v>13</v>
      </c>
      <c r="F547">
        <v>20.529316000000001</v>
      </c>
      <c r="G547">
        <v>85.949236999999997</v>
      </c>
      <c r="H547">
        <v>1</v>
      </c>
      <c r="I547" t="s">
        <v>14</v>
      </c>
      <c r="J547" t="s">
        <v>12</v>
      </c>
      <c r="K547">
        <f>IF(tbl_ChargingStation[[#This Row],[status]]="Operational",1,0)</f>
        <v>1</v>
      </c>
      <c r="L547">
        <f t="shared" si="16"/>
        <v>1</v>
      </c>
      <c r="M547" t="str">
        <f t="shared" si="17"/>
        <v>Odisha</v>
      </c>
    </row>
    <row r="548" spans="1:13">
      <c r="A548">
        <v>479302</v>
      </c>
      <c r="B548" t="s">
        <v>24</v>
      </c>
      <c r="C548" t="s">
        <v>12</v>
      </c>
      <c r="D548" t="s">
        <v>20</v>
      </c>
      <c r="E548" t="s">
        <v>13</v>
      </c>
      <c r="F548">
        <v>20.453737</v>
      </c>
      <c r="G548">
        <v>85.888490000000004</v>
      </c>
      <c r="H548">
        <v>1</v>
      </c>
      <c r="I548" t="s">
        <v>14</v>
      </c>
      <c r="J548" t="s">
        <v>12</v>
      </c>
      <c r="K548">
        <f>IF(tbl_ChargingStation[[#This Row],[status]]="Operational",1,0)</f>
        <v>1</v>
      </c>
      <c r="L548">
        <f t="shared" si="16"/>
        <v>1</v>
      </c>
      <c r="M548" t="str">
        <f t="shared" si="17"/>
        <v>Odisha</v>
      </c>
    </row>
    <row r="549" spans="1:13">
      <c r="A549">
        <v>479301</v>
      </c>
      <c r="B549" t="s">
        <v>28</v>
      </c>
      <c r="C549" t="s">
        <v>12</v>
      </c>
      <c r="D549" t="s">
        <v>20</v>
      </c>
      <c r="E549" t="s">
        <v>13</v>
      </c>
      <c r="F549">
        <v>20.411631700000001</v>
      </c>
      <c r="G549">
        <v>85.879413299999996</v>
      </c>
      <c r="H549">
        <v>1</v>
      </c>
      <c r="I549" t="s">
        <v>14</v>
      </c>
      <c r="J549" t="s">
        <v>12</v>
      </c>
      <c r="K549">
        <f>IF(tbl_ChargingStation[[#This Row],[status]]="Operational",1,0)</f>
        <v>1</v>
      </c>
      <c r="L549">
        <f t="shared" si="16"/>
        <v>1</v>
      </c>
      <c r="M549" t="str">
        <f t="shared" si="17"/>
        <v>Odisha</v>
      </c>
    </row>
    <row r="550" spans="1:13">
      <c r="A550">
        <v>479300</v>
      </c>
      <c r="B550" t="s">
        <v>19</v>
      </c>
      <c r="C550" t="s">
        <v>12</v>
      </c>
      <c r="D550" t="s">
        <v>20</v>
      </c>
      <c r="E550" t="s">
        <v>13</v>
      </c>
      <c r="F550">
        <v>20.481787000000001</v>
      </c>
      <c r="G550">
        <v>85.817212999999995</v>
      </c>
      <c r="H550">
        <v>1</v>
      </c>
      <c r="I550" t="s">
        <v>14</v>
      </c>
      <c r="J550" t="s">
        <v>12</v>
      </c>
      <c r="K550">
        <f>IF(tbl_ChargingStation[[#This Row],[status]]="Operational",1,0)</f>
        <v>1</v>
      </c>
      <c r="L550">
        <f t="shared" si="16"/>
        <v>1</v>
      </c>
      <c r="M550" t="str">
        <f t="shared" si="17"/>
        <v>Odisha</v>
      </c>
    </row>
    <row r="551" spans="1:13">
      <c r="A551">
        <v>479299</v>
      </c>
      <c r="B551" t="s">
        <v>24</v>
      </c>
      <c r="C551" t="s">
        <v>12</v>
      </c>
      <c r="D551" t="s">
        <v>20</v>
      </c>
      <c r="E551" t="s">
        <v>13</v>
      </c>
      <c r="F551">
        <v>20.449793799999998</v>
      </c>
      <c r="G551">
        <v>85.898200099999997</v>
      </c>
      <c r="H551">
        <v>1</v>
      </c>
      <c r="I551" t="s">
        <v>14</v>
      </c>
      <c r="J551" t="s">
        <v>12</v>
      </c>
      <c r="K551">
        <f>IF(tbl_ChargingStation[[#This Row],[status]]="Operational",1,0)</f>
        <v>1</v>
      </c>
      <c r="L551">
        <f t="shared" si="16"/>
        <v>1</v>
      </c>
      <c r="M551" t="str">
        <f t="shared" si="17"/>
        <v>Odisha</v>
      </c>
    </row>
    <row r="552" spans="1:13">
      <c r="A552">
        <v>479298</v>
      </c>
      <c r="B552" t="s">
        <v>24</v>
      </c>
      <c r="C552" t="s">
        <v>12</v>
      </c>
      <c r="D552" t="s">
        <v>20</v>
      </c>
      <c r="E552" t="s">
        <v>13</v>
      </c>
      <c r="F552">
        <v>20.469631</v>
      </c>
      <c r="G552">
        <v>85.854690000000005</v>
      </c>
      <c r="H552">
        <v>1</v>
      </c>
      <c r="I552" t="s">
        <v>14</v>
      </c>
      <c r="J552" t="s">
        <v>12</v>
      </c>
      <c r="K552">
        <f>IF(tbl_ChargingStation[[#This Row],[status]]="Operational",1,0)</f>
        <v>1</v>
      </c>
      <c r="L552">
        <f t="shared" si="16"/>
        <v>1</v>
      </c>
      <c r="M552" t="str">
        <f t="shared" si="17"/>
        <v>Odisha</v>
      </c>
    </row>
    <row r="553" spans="1:13">
      <c r="A553">
        <v>479297</v>
      </c>
      <c r="B553" t="s">
        <v>24</v>
      </c>
      <c r="C553" t="s">
        <v>12</v>
      </c>
      <c r="D553" t="s">
        <v>20</v>
      </c>
      <c r="E553" t="s">
        <v>13</v>
      </c>
      <c r="F553">
        <v>20.460117</v>
      </c>
      <c r="G553">
        <v>85.889380000000003</v>
      </c>
      <c r="H553">
        <v>1</v>
      </c>
      <c r="I553" t="s">
        <v>14</v>
      </c>
      <c r="J553" t="s">
        <v>12</v>
      </c>
      <c r="K553">
        <f>IF(tbl_ChargingStation[[#This Row],[status]]="Operational",1,0)</f>
        <v>1</v>
      </c>
      <c r="L553">
        <f t="shared" si="16"/>
        <v>1</v>
      </c>
      <c r="M553" t="str">
        <f t="shared" si="17"/>
        <v>Odisha</v>
      </c>
    </row>
    <row r="554" spans="1:13">
      <c r="A554">
        <v>479296</v>
      </c>
      <c r="B554" t="s">
        <v>24</v>
      </c>
      <c r="C554" t="s">
        <v>12</v>
      </c>
      <c r="D554" t="s">
        <v>20</v>
      </c>
      <c r="E554" t="s">
        <v>13</v>
      </c>
      <c r="F554">
        <v>20.442350000000001</v>
      </c>
      <c r="G554">
        <v>85.904809999999998</v>
      </c>
      <c r="H554">
        <v>1</v>
      </c>
      <c r="I554" t="s">
        <v>14</v>
      </c>
      <c r="J554" t="s">
        <v>12</v>
      </c>
      <c r="K554">
        <f>IF(tbl_ChargingStation[[#This Row],[status]]="Operational",1,0)</f>
        <v>1</v>
      </c>
      <c r="L554">
        <f t="shared" si="16"/>
        <v>1</v>
      </c>
      <c r="M554" t="str">
        <f t="shared" si="17"/>
        <v>Odisha</v>
      </c>
    </row>
    <row r="555" spans="1:13">
      <c r="A555">
        <v>479295</v>
      </c>
      <c r="B555" t="s">
        <v>46</v>
      </c>
      <c r="C555" t="s">
        <v>12</v>
      </c>
      <c r="D555" t="s">
        <v>20</v>
      </c>
      <c r="E555" t="s">
        <v>13</v>
      </c>
      <c r="F555">
        <v>20.455160299999999</v>
      </c>
      <c r="G555">
        <v>85.886655500000003</v>
      </c>
      <c r="H555">
        <v>1</v>
      </c>
      <c r="I555" t="s">
        <v>14</v>
      </c>
      <c r="J555" t="s">
        <v>12</v>
      </c>
      <c r="K555">
        <f>IF(tbl_ChargingStation[[#This Row],[status]]="Operational",1,0)</f>
        <v>1</v>
      </c>
      <c r="L555">
        <f t="shared" si="16"/>
        <v>1</v>
      </c>
      <c r="M555" t="str">
        <f t="shared" si="17"/>
        <v>Odisha</v>
      </c>
    </row>
    <row r="556" spans="1:13">
      <c r="A556">
        <v>479294</v>
      </c>
      <c r="B556" t="s">
        <v>25</v>
      </c>
      <c r="C556" t="s">
        <v>12</v>
      </c>
      <c r="D556" t="s">
        <v>20</v>
      </c>
      <c r="E556" t="s">
        <v>13</v>
      </c>
      <c r="F556">
        <v>20.446043</v>
      </c>
      <c r="G556">
        <v>85.906942700000002</v>
      </c>
      <c r="H556">
        <v>1</v>
      </c>
      <c r="I556" t="s">
        <v>14</v>
      </c>
      <c r="J556" t="s">
        <v>12</v>
      </c>
      <c r="K556">
        <f>IF(tbl_ChargingStation[[#This Row],[status]]="Operational",1,0)</f>
        <v>1</v>
      </c>
      <c r="L556">
        <f t="shared" si="16"/>
        <v>1</v>
      </c>
      <c r="M556" t="str">
        <f t="shared" si="17"/>
        <v>Odisha</v>
      </c>
    </row>
    <row r="557" spans="1:13">
      <c r="A557">
        <v>479293</v>
      </c>
      <c r="B557" t="s">
        <v>24</v>
      </c>
      <c r="C557" t="s">
        <v>12</v>
      </c>
      <c r="D557" t="s">
        <v>20</v>
      </c>
      <c r="E557" t="s">
        <v>13</v>
      </c>
      <c r="F557">
        <v>20.466061499999999</v>
      </c>
      <c r="G557">
        <v>85.905360599999995</v>
      </c>
      <c r="H557">
        <v>1</v>
      </c>
      <c r="I557" t="s">
        <v>14</v>
      </c>
      <c r="J557" t="s">
        <v>12</v>
      </c>
      <c r="K557">
        <f>IF(tbl_ChargingStation[[#This Row],[status]]="Operational",1,0)</f>
        <v>1</v>
      </c>
      <c r="L557">
        <f t="shared" si="16"/>
        <v>1</v>
      </c>
      <c r="M557" t="str">
        <f t="shared" si="17"/>
        <v>Odisha</v>
      </c>
    </row>
    <row r="558" spans="1:13">
      <c r="A558">
        <v>479292</v>
      </c>
      <c r="B558" t="s">
        <v>24</v>
      </c>
      <c r="C558" t="s">
        <v>12</v>
      </c>
      <c r="D558" t="s">
        <v>20</v>
      </c>
      <c r="E558" t="s">
        <v>13</v>
      </c>
      <c r="F558">
        <v>20.474402999999999</v>
      </c>
      <c r="G558">
        <v>85.844799800000004</v>
      </c>
      <c r="H558">
        <v>1</v>
      </c>
      <c r="I558" t="s">
        <v>14</v>
      </c>
      <c r="J558" t="s">
        <v>12</v>
      </c>
      <c r="K558">
        <f>IF(tbl_ChargingStation[[#This Row],[status]]="Operational",1,0)</f>
        <v>1</v>
      </c>
      <c r="L558">
        <f t="shared" si="16"/>
        <v>1</v>
      </c>
      <c r="M558" t="str">
        <f t="shared" si="17"/>
        <v>Odisha</v>
      </c>
    </row>
    <row r="559" spans="1:13">
      <c r="A559">
        <v>479290</v>
      </c>
      <c r="B559" t="s">
        <v>32</v>
      </c>
      <c r="C559" t="s">
        <v>12</v>
      </c>
      <c r="D559" t="s">
        <v>20</v>
      </c>
      <c r="E559" t="s">
        <v>13</v>
      </c>
      <c r="F559">
        <v>20.550660300000001</v>
      </c>
      <c r="G559">
        <v>85.774417999999997</v>
      </c>
      <c r="H559">
        <v>1</v>
      </c>
      <c r="I559" t="s">
        <v>14</v>
      </c>
      <c r="J559" t="s">
        <v>12</v>
      </c>
      <c r="K559">
        <f>IF(tbl_ChargingStation[[#This Row],[status]]="Operational",1,0)</f>
        <v>1</v>
      </c>
      <c r="L559">
        <f t="shared" si="16"/>
        <v>1</v>
      </c>
      <c r="M559" t="str">
        <f t="shared" si="17"/>
        <v>Odisha</v>
      </c>
    </row>
    <row r="560" spans="1:13">
      <c r="A560">
        <v>479289</v>
      </c>
      <c r="B560" t="s">
        <v>24</v>
      </c>
      <c r="C560" t="s">
        <v>12</v>
      </c>
      <c r="D560" t="s">
        <v>20</v>
      </c>
      <c r="E560" t="s">
        <v>13</v>
      </c>
      <c r="F560">
        <v>20.462175800000001</v>
      </c>
      <c r="G560">
        <v>85.883743899999999</v>
      </c>
      <c r="H560">
        <v>1</v>
      </c>
      <c r="I560" t="s">
        <v>14</v>
      </c>
      <c r="J560" t="s">
        <v>12</v>
      </c>
      <c r="K560">
        <f>IF(tbl_ChargingStation[[#This Row],[status]]="Operational",1,0)</f>
        <v>1</v>
      </c>
      <c r="L560">
        <f t="shared" si="16"/>
        <v>1</v>
      </c>
      <c r="M560" t="str">
        <f t="shared" si="17"/>
        <v>Odisha</v>
      </c>
    </row>
    <row r="561" spans="1:13">
      <c r="A561">
        <v>479288</v>
      </c>
      <c r="B561" t="s">
        <v>47</v>
      </c>
      <c r="C561" t="s">
        <v>12</v>
      </c>
      <c r="D561" t="s">
        <v>20</v>
      </c>
      <c r="E561" t="s">
        <v>13</v>
      </c>
      <c r="F561">
        <v>20.377014800000001</v>
      </c>
      <c r="G561">
        <v>85.889379300000002</v>
      </c>
      <c r="H561">
        <v>1</v>
      </c>
      <c r="I561" t="s">
        <v>14</v>
      </c>
      <c r="J561" t="s">
        <v>12</v>
      </c>
      <c r="K561">
        <f>IF(tbl_ChargingStation[[#This Row],[status]]="Operational",1,0)</f>
        <v>1</v>
      </c>
      <c r="L561">
        <f t="shared" si="16"/>
        <v>1</v>
      </c>
      <c r="M561" t="str">
        <f t="shared" si="17"/>
        <v>Odisha</v>
      </c>
    </row>
    <row r="562" spans="1:13">
      <c r="A562">
        <v>479287</v>
      </c>
      <c r="B562" t="s">
        <v>22</v>
      </c>
      <c r="C562" t="s">
        <v>12</v>
      </c>
      <c r="D562" t="s">
        <v>20</v>
      </c>
      <c r="E562" t="s">
        <v>13</v>
      </c>
      <c r="F562">
        <v>20.551269699999999</v>
      </c>
      <c r="G562">
        <v>85.985495900000004</v>
      </c>
      <c r="H562">
        <v>1</v>
      </c>
      <c r="I562" t="s">
        <v>14</v>
      </c>
      <c r="J562" t="s">
        <v>12</v>
      </c>
      <c r="K562">
        <f>IF(tbl_ChargingStation[[#This Row],[status]]="Operational",1,0)</f>
        <v>1</v>
      </c>
      <c r="L562">
        <f t="shared" si="16"/>
        <v>1</v>
      </c>
      <c r="M562" t="str">
        <f t="shared" si="17"/>
        <v>Odisha</v>
      </c>
    </row>
    <row r="563" spans="1:13">
      <c r="A563">
        <v>479286</v>
      </c>
      <c r="B563" t="s">
        <v>22</v>
      </c>
      <c r="C563" t="s">
        <v>12</v>
      </c>
      <c r="D563" t="s">
        <v>20</v>
      </c>
      <c r="E563" t="s">
        <v>13</v>
      </c>
      <c r="F563">
        <v>20.289510100000001</v>
      </c>
      <c r="G563">
        <v>86.6453834</v>
      </c>
      <c r="H563">
        <v>1</v>
      </c>
      <c r="I563" t="s">
        <v>14</v>
      </c>
      <c r="J563" t="s">
        <v>12</v>
      </c>
      <c r="K563">
        <f>IF(tbl_ChargingStation[[#This Row],[status]]="Operational",1,0)</f>
        <v>1</v>
      </c>
      <c r="L563">
        <f t="shared" si="16"/>
        <v>1</v>
      </c>
      <c r="M563" t="str">
        <f t="shared" si="17"/>
        <v>Odisha</v>
      </c>
    </row>
    <row r="564" spans="1:13">
      <c r="A564">
        <v>479285</v>
      </c>
      <c r="B564" t="s">
        <v>19</v>
      </c>
      <c r="C564" t="s">
        <v>12</v>
      </c>
      <c r="D564" t="s">
        <v>20</v>
      </c>
      <c r="E564" t="s">
        <v>13</v>
      </c>
      <c r="F564">
        <v>20.307243</v>
      </c>
      <c r="G564">
        <v>86.320751000000001</v>
      </c>
      <c r="H564">
        <v>1</v>
      </c>
      <c r="I564" t="s">
        <v>14</v>
      </c>
      <c r="J564" t="s">
        <v>12</v>
      </c>
      <c r="K564">
        <f>IF(tbl_ChargingStation[[#This Row],[status]]="Operational",1,0)</f>
        <v>1</v>
      </c>
      <c r="L564">
        <f t="shared" si="16"/>
        <v>1</v>
      </c>
      <c r="M564" t="str">
        <f t="shared" si="17"/>
        <v>Odisha</v>
      </c>
    </row>
    <row r="565" spans="1:13">
      <c r="A565">
        <v>479283</v>
      </c>
      <c r="B565" t="s">
        <v>29</v>
      </c>
      <c r="C565" t="s">
        <v>12</v>
      </c>
      <c r="D565" t="s">
        <v>20</v>
      </c>
      <c r="E565" t="s">
        <v>13</v>
      </c>
      <c r="F565">
        <v>20.193901</v>
      </c>
      <c r="G565">
        <v>85.859992000000005</v>
      </c>
      <c r="H565">
        <v>1</v>
      </c>
      <c r="I565" t="s">
        <v>14</v>
      </c>
      <c r="J565" t="s">
        <v>12</v>
      </c>
      <c r="K565">
        <f>IF(tbl_ChargingStation[[#This Row],[status]]="Operational",1,0)</f>
        <v>1</v>
      </c>
      <c r="L565">
        <f t="shared" si="16"/>
        <v>1</v>
      </c>
      <c r="M565" t="str">
        <f t="shared" si="17"/>
        <v>Odisha</v>
      </c>
    </row>
    <row r="566" spans="1:13">
      <c r="A566">
        <v>479282</v>
      </c>
      <c r="B566" t="s">
        <v>28</v>
      </c>
      <c r="C566" t="s">
        <v>12</v>
      </c>
      <c r="D566" t="s">
        <v>20</v>
      </c>
      <c r="E566" t="s">
        <v>13</v>
      </c>
      <c r="F566">
        <v>20.289135000000002</v>
      </c>
      <c r="G566">
        <v>85.8152489</v>
      </c>
      <c r="H566">
        <v>1</v>
      </c>
      <c r="I566" t="s">
        <v>14</v>
      </c>
      <c r="J566" t="s">
        <v>12</v>
      </c>
      <c r="K566">
        <f>IF(tbl_ChargingStation[[#This Row],[status]]="Operational",1,0)</f>
        <v>1</v>
      </c>
      <c r="L566">
        <f t="shared" si="16"/>
        <v>1</v>
      </c>
      <c r="M566" t="str">
        <f t="shared" si="17"/>
        <v>Odisha</v>
      </c>
    </row>
    <row r="567" spans="1:13">
      <c r="A567">
        <v>479281</v>
      </c>
      <c r="B567" t="s">
        <v>24</v>
      </c>
      <c r="C567" t="s">
        <v>12</v>
      </c>
      <c r="D567" t="s">
        <v>20</v>
      </c>
      <c r="E567" t="s">
        <v>13</v>
      </c>
      <c r="F567">
        <v>20.315432000000001</v>
      </c>
      <c r="G567">
        <v>85.820539999999994</v>
      </c>
      <c r="H567">
        <v>1</v>
      </c>
      <c r="I567" t="s">
        <v>41</v>
      </c>
      <c r="J567" t="s">
        <v>12</v>
      </c>
      <c r="K567">
        <f>IF(tbl_ChargingStation[[#This Row],[status]]="Operational",1,0)</f>
        <v>0</v>
      </c>
      <c r="L567">
        <f t="shared" si="16"/>
        <v>0</v>
      </c>
      <c r="M567" t="str">
        <f t="shared" si="17"/>
        <v>Odisha</v>
      </c>
    </row>
    <row r="568" spans="1:13">
      <c r="A568">
        <v>479278</v>
      </c>
      <c r="B568" t="s">
        <v>24</v>
      </c>
      <c r="C568" t="s">
        <v>12</v>
      </c>
      <c r="D568" t="s">
        <v>20</v>
      </c>
      <c r="E568" t="s">
        <v>13</v>
      </c>
      <c r="F568">
        <v>20.2614172</v>
      </c>
      <c r="G568">
        <v>85.843899300000004</v>
      </c>
      <c r="H568">
        <v>1</v>
      </c>
      <c r="I568" t="s">
        <v>14</v>
      </c>
      <c r="J568" t="s">
        <v>12</v>
      </c>
      <c r="K568">
        <f>IF(tbl_ChargingStation[[#This Row],[status]]="Operational",1,0)</f>
        <v>1</v>
      </c>
      <c r="L568">
        <f t="shared" si="16"/>
        <v>1</v>
      </c>
      <c r="M568" t="str">
        <f t="shared" si="17"/>
        <v>Odisha</v>
      </c>
    </row>
    <row r="569" spans="1:13">
      <c r="A569">
        <v>479277</v>
      </c>
      <c r="B569" t="s">
        <v>19</v>
      </c>
      <c r="C569" t="s">
        <v>12</v>
      </c>
      <c r="D569" t="s">
        <v>20</v>
      </c>
      <c r="E569" t="s">
        <v>13</v>
      </c>
      <c r="F569">
        <v>20.299550100000001</v>
      </c>
      <c r="G569">
        <v>85.830973499999999</v>
      </c>
      <c r="H569">
        <v>1</v>
      </c>
      <c r="I569" t="s">
        <v>14</v>
      </c>
      <c r="J569" t="s">
        <v>12</v>
      </c>
      <c r="K569">
        <f>IF(tbl_ChargingStation[[#This Row],[status]]="Operational",1,0)</f>
        <v>1</v>
      </c>
      <c r="L569">
        <f t="shared" si="16"/>
        <v>1</v>
      </c>
      <c r="M569" t="str">
        <f t="shared" si="17"/>
        <v>Odisha</v>
      </c>
    </row>
    <row r="570" spans="1:13">
      <c r="A570">
        <v>479275</v>
      </c>
      <c r="B570" t="s">
        <v>24</v>
      </c>
      <c r="C570" t="s">
        <v>12</v>
      </c>
      <c r="D570" t="s">
        <v>20</v>
      </c>
      <c r="E570" t="s">
        <v>13</v>
      </c>
      <c r="F570">
        <v>20.266953699999998</v>
      </c>
      <c r="G570">
        <v>85.869423900000001</v>
      </c>
      <c r="H570">
        <v>1</v>
      </c>
      <c r="I570" t="s">
        <v>14</v>
      </c>
      <c r="J570" t="s">
        <v>12</v>
      </c>
      <c r="K570">
        <f>IF(tbl_ChargingStation[[#This Row],[status]]="Operational",1,0)</f>
        <v>1</v>
      </c>
      <c r="L570">
        <f t="shared" si="16"/>
        <v>1</v>
      </c>
      <c r="M570" t="str">
        <f t="shared" si="17"/>
        <v>Odisha</v>
      </c>
    </row>
    <row r="571" spans="1:13">
      <c r="A571">
        <v>479274</v>
      </c>
      <c r="B571" t="s">
        <v>25</v>
      </c>
      <c r="C571" t="s">
        <v>12</v>
      </c>
      <c r="D571" t="s">
        <v>20</v>
      </c>
      <c r="E571" t="s">
        <v>13</v>
      </c>
      <c r="F571">
        <v>20.2640837</v>
      </c>
      <c r="G571">
        <v>85.845767899999998</v>
      </c>
      <c r="H571">
        <v>1</v>
      </c>
      <c r="I571" t="s">
        <v>14</v>
      </c>
      <c r="J571" t="s">
        <v>12</v>
      </c>
      <c r="K571">
        <f>IF(tbl_ChargingStation[[#This Row],[status]]="Operational",1,0)</f>
        <v>1</v>
      </c>
      <c r="L571">
        <f t="shared" si="16"/>
        <v>1</v>
      </c>
      <c r="M571" t="str">
        <f t="shared" si="17"/>
        <v>Odisha</v>
      </c>
    </row>
    <row r="572" spans="1:13">
      <c r="A572">
        <v>479271</v>
      </c>
      <c r="B572" t="s">
        <v>24</v>
      </c>
      <c r="C572" t="s">
        <v>12</v>
      </c>
      <c r="D572" t="s">
        <v>20</v>
      </c>
      <c r="E572" t="s">
        <v>13</v>
      </c>
      <c r="F572">
        <v>20.271038600000001</v>
      </c>
      <c r="G572">
        <v>85.783829299999994</v>
      </c>
      <c r="H572">
        <v>1</v>
      </c>
      <c r="I572" t="s">
        <v>14</v>
      </c>
      <c r="J572" t="s">
        <v>12</v>
      </c>
      <c r="K572">
        <f>IF(tbl_ChargingStation[[#This Row],[status]]="Operational",1,0)</f>
        <v>1</v>
      </c>
      <c r="L572">
        <f t="shared" si="16"/>
        <v>1</v>
      </c>
      <c r="M572" t="str">
        <f t="shared" si="17"/>
        <v>Odisha</v>
      </c>
    </row>
    <row r="573" spans="1:13">
      <c r="A573">
        <v>479270</v>
      </c>
      <c r="B573" t="s">
        <v>24</v>
      </c>
      <c r="C573" t="s">
        <v>12</v>
      </c>
      <c r="D573" t="s">
        <v>20</v>
      </c>
      <c r="E573" t="s">
        <v>13</v>
      </c>
      <c r="F573">
        <v>20.298635099999998</v>
      </c>
      <c r="G573">
        <v>85.822708599999999</v>
      </c>
      <c r="H573">
        <v>1</v>
      </c>
      <c r="I573" t="s">
        <v>14</v>
      </c>
      <c r="J573" t="s">
        <v>12</v>
      </c>
      <c r="K573">
        <f>IF(tbl_ChargingStation[[#This Row],[status]]="Operational",1,0)</f>
        <v>1</v>
      </c>
      <c r="L573">
        <f t="shared" si="16"/>
        <v>1</v>
      </c>
      <c r="M573" t="str">
        <f t="shared" si="17"/>
        <v>Odisha</v>
      </c>
    </row>
    <row r="574" spans="1:13">
      <c r="A574">
        <v>479268</v>
      </c>
      <c r="B574" t="s">
        <v>25</v>
      </c>
      <c r="C574" t="s">
        <v>12</v>
      </c>
      <c r="D574" t="s">
        <v>20</v>
      </c>
      <c r="E574" t="s">
        <v>13</v>
      </c>
      <c r="F574">
        <v>20.247610699999999</v>
      </c>
      <c r="G574">
        <v>85.840984599999999</v>
      </c>
      <c r="H574">
        <v>1</v>
      </c>
      <c r="I574" t="s">
        <v>14</v>
      </c>
      <c r="J574" t="s">
        <v>12</v>
      </c>
      <c r="K574">
        <f>IF(tbl_ChargingStation[[#This Row],[status]]="Operational",1,0)</f>
        <v>1</v>
      </c>
      <c r="L574">
        <f t="shared" si="16"/>
        <v>1</v>
      </c>
      <c r="M574" t="str">
        <f t="shared" si="17"/>
        <v>Odisha</v>
      </c>
    </row>
    <row r="575" spans="1:13">
      <c r="A575">
        <v>479267</v>
      </c>
      <c r="B575" t="s">
        <v>24</v>
      </c>
      <c r="C575" t="s">
        <v>12</v>
      </c>
      <c r="D575" t="s">
        <v>20</v>
      </c>
      <c r="E575" t="s">
        <v>13</v>
      </c>
      <c r="F575">
        <v>20.283109</v>
      </c>
      <c r="G575">
        <v>85.806011100000006</v>
      </c>
      <c r="H575">
        <v>1</v>
      </c>
      <c r="I575" t="s">
        <v>14</v>
      </c>
      <c r="J575" t="s">
        <v>12</v>
      </c>
      <c r="K575">
        <f>IF(tbl_ChargingStation[[#This Row],[status]]="Operational",1,0)</f>
        <v>1</v>
      </c>
      <c r="L575">
        <f t="shared" si="16"/>
        <v>1</v>
      </c>
      <c r="M575" t="str">
        <f t="shared" si="17"/>
        <v>Odisha</v>
      </c>
    </row>
    <row r="576" spans="1:13">
      <c r="A576">
        <v>479264</v>
      </c>
      <c r="B576" t="s">
        <v>49</v>
      </c>
      <c r="C576" t="s">
        <v>12</v>
      </c>
      <c r="D576" t="s">
        <v>20</v>
      </c>
      <c r="E576" t="s">
        <v>13</v>
      </c>
      <c r="F576">
        <v>20.257376099999998</v>
      </c>
      <c r="G576">
        <v>85.840973000000005</v>
      </c>
      <c r="H576">
        <v>1</v>
      </c>
      <c r="I576" t="s">
        <v>14</v>
      </c>
      <c r="J576" t="s">
        <v>12</v>
      </c>
      <c r="K576">
        <f>IF(tbl_ChargingStation[[#This Row],[status]]="Operational",1,0)</f>
        <v>1</v>
      </c>
      <c r="L576">
        <f t="shared" si="16"/>
        <v>1</v>
      </c>
      <c r="M576" t="str">
        <f t="shared" si="17"/>
        <v>Odisha</v>
      </c>
    </row>
    <row r="577" spans="1:13">
      <c r="A577">
        <v>479263</v>
      </c>
      <c r="B577" t="s">
        <v>50</v>
      </c>
      <c r="C577" t="s">
        <v>12</v>
      </c>
      <c r="D577" t="s">
        <v>20</v>
      </c>
      <c r="E577" t="s">
        <v>13</v>
      </c>
      <c r="F577">
        <v>20.227714800000001</v>
      </c>
      <c r="G577">
        <v>85.735630400000005</v>
      </c>
      <c r="H577">
        <v>1</v>
      </c>
      <c r="I577" t="s">
        <v>14</v>
      </c>
      <c r="J577" t="s">
        <v>12</v>
      </c>
      <c r="K577">
        <f>IF(tbl_ChargingStation[[#This Row],[status]]="Operational",1,0)</f>
        <v>1</v>
      </c>
      <c r="L577">
        <f t="shared" si="16"/>
        <v>1</v>
      </c>
      <c r="M577" t="str">
        <f t="shared" si="17"/>
        <v>Odisha</v>
      </c>
    </row>
    <row r="578" spans="1:13">
      <c r="A578">
        <v>479259</v>
      </c>
      <c r="B578" t="s">
        <v>51</v>
      </c>
      <c r="C578" t="s">
        <v>12</v>
      </c>
      <c r="D578" t="s">
        <v>20</v>
      </c>
      <c r="E578" t="s">
        <v>13</v>
      </c>
      <c r="F578">
        <v>20.255514099999999</v>
      </c>
      <c r="G578">
        <v>85.686663699999997</v>
      </c>
      <c r="H578">
        <v>1</v>
      </c>
      <c r="I578" t="s">
        <v>14</v>
      </c>
      <c r="J578" t="s">
        <v>12</v>
      </c>
      <c r="K578">
        <f>IF(tbl_ChargingStation[[#This Row],[status]]="Operational",1,0)</f>
        <v>1</v>
      </c>
      <c r="L578">
        <f t="shared" ref="L578:L641" si="18">H578*K578</f>
        <v>1</v>
      </c>
      <c r="M578" t="str">
        <f t="shared" ref="M578:M641" si="19">IF(D578="GJ","Gujarat",IF(OR(D578="Keral",D578="Keraka",D578="Lerala"),"Kerala",IF(D578="MH","Maharashtra",IF(D578="MP","Madhya Pradesh",IF(D578="RJ","Rajasthan",IF(D578="TAMILNADU","Tamil Nadu",IF(D578="Uttarakhnad","Uttarakhand",D578)))))))</f>
        <v>Odisha</v>
      </c>
    </row>
    <row r="579" spans="1:13">
      <c r="A579">
        <v>479258</v>
      </c>
      <c r="B579" t="s">
        <v>43</v>
      </c>
      <c r="C579" t="s">
        <v>12</v>
      </c>
      <c r="D579" t="s">
        <v>20</v>
      </c>
      <c r="E579" t="s">
        <v>13</v>
      </c>
      <c r="F579">
        <v>20.242778000000001</v>
      </c>
      <c r="G579">
        <v>85.756117000000003</v>
      </c>
      <c r="H579">
        <v>1</v>
      </c>
      <c r="I579" t="s">
        <v>14</v>
      </c>
      <c r="J579" t="s">
        <v>12</v>
      </c>
      <c r="K579">
        <f>IF(tbl_ChargingStation[[#This Row],[status]]="Operational",1,0)</f>
        <v>1</v>
      </c>
      <c r="L579">
        <f t="shared" si="18"/>
        <v>1</v>
      </c>
      <c r="M579" t="str">
        <f t="shared" si="19"/>
        <v>Odisha</v>
      </c>
    </row>
    <row r="580" spans="1:13">
      <c r="A580">
        <v>479256</v>
      </c>
      <c r="B580" t="s">
        <v>51</v>
      </c>
      <c r="C580" t="s">
        <v>12</v>
      </c>
      <c r="D580" t="s">
        <v>20</v>
      </c>
      <c r="E580" t="s">
        <v>13</v>
      </c>
      <c r="F580">
        <v>20.254699200000001</v>
      </c>
      <c r="G580">
        <v>85.686781400000001</v>
      </c>
      <c r="H580">
        <v>1</v>
      </c>
      <c r="I580" t="s">
        <v>14</v>
      </c>
      <c r="J580" t="s">
        <v>12</v>
      </c>
      <c r="K580">
        <f>IF(tbl_ChargingStation[[#This Row],[status]]="Operational",1,0)</f>
        <v>1</v>
      </c>
      <c r="L580">
        <f t="shared" si="18"/>
        <v>1</v>
      </c>
      <c r="M580" t="str">
        <f t="shared" si="19"/>
        <v>Odisha</v>
      </c>
    </row>
    <row r="581" spans="1:13">
      <c r="A581">
        <v>479254</v>
      </c>
      <c r="B581" t="s">
        <v>19</v>
      </c>
      <c r="C581" t="s">
        <v>12</v>
      </c>
      <c r="D581" t="s">
        <v>20</v>
      </c>
      <c r="E581" t="s">
        <v>13</v>
      </c>
      <c r="F581">
        <v>20.240743599999998</v>
      </c>
      <c r="G581">
        <v>85.759028099999995</v>
      </c>
      <c r="H581">
        <v>1</v>
      </c>
      <c r="I581" t="s">
        <v>14</v>
      </c>
      <c r="J581" t="s">
        <v>12</v>
      </c>
      <c r="K581">
        <f>IF(tbl_ChargingStation[[#This Row],[status]]="Operational",1,0)</f>
        <v>1</v>
      </c>
      <c r="L581">
        <f t="shared" si="18"/>
        <v>1</v>
      </c>
      <c r="M581" t="str">
        <f t="shared" si="19"/>
        <v>Odisha</v>
      </c>
    </row>
    <row r="582" spans="1:13">
      <c r="A582">
        <v>479253</v>
      </c>
      <c r="B582" t="s">
        <v>28</v>
      </c>
      <c r="C582" t="s">
        <v>12</v>
      </c>
      <c r="D582" t="s">
        <v>20</v>
      </c>
      <c r="E582" t="s">
        <v>13</v>
      </c>
      <c r="F582">
        <v>20.223617999999998</v>
      </c>
      <c r="G582">
        <v>85.726761999999994</v>
      </c>
      <c r="H582">
        <v>1</v>
      </c>
      <c r="I582" t="s">
        <v>14</v>
      </c>
      <c r="J582" t="s">
        <v>12</v>
      </c>
      <c r="K582">
        <f>IF(tbl_ChargingStation[[#This Row],[status]]="Operational",1,0)</f>
        <v>1</v>
      </c>
      <c r="L582">
        <f t="shared" si="18"/>
        <v>1</v>
      </c>
      <c r="M582" t="str">
        <f t="shared" si="19"/>
        <v>Odisha</v>
      </c>
    </row>
    <row r="583" spans="1:13">
      <c r="A583">
        <v>479252</v>
      </c>
      <c r="B583" t="s">
        <v>28</v>
      </c>
      <c r="C583" t="s">
        <v>12</v>
      </c>
      <c r="D583" t="s">
        <v>20</v>
      </c>
      <c r="E583" t="s">
        <v>13</v>
      </c>
      <c r="F583">
        <v>20.1939131</v>
      </c>
      <c r="G583">
        <v>85.652148800000006</v>
      </c>
      <c r="H583">
        <v>1</v>
      </c>
      <c r="I583" t="s">
        <v>14</v>
      </c>
      <c r="J583" t="s">
        <v>12</v>
      </c>
      <c r="K583">
        <f>IF(tbl_ChargingStation[[#This Row],[status]]="Operational",1,0)</f>
        <v>1</v>
      </c>
      <c r="L583">
        <f t="shared" si="18"/>
        <v>1</v>
      </c>
      <c r="M583" t="str">
        <f t="shared" si="19"/>
        <v>Odisha</v>
      </c>
    </row>
    <row r="584" spans="1:13">
      <c r="A584">
        <v>479251</v>
      </c>
      <c r="B584" t="s">
        <v>24</v>
      </c>
      <c r="C584" t="s">
        <v>12</v>
      </c>
      <c r="D584" t="s">
        <v>20</v>
      </c>
      <c r="E584" t="s">
        <v>13</v>
      </c>
      <c r="F584">
        <v>20.178872999999999</v>
      </c>
      <c r="G584">
        <v>85.611530000000002</v>
      </c>
      <c r="H584">
        <v>1</v>
      </c>
      <c r="I584" t="s">
        <v>14</v>
      </c>
      <c r="J584" t="s">
        <v>12</v>
      </c>
      <c r="K584">
        <f>IF(tbl_ChargingStation[[#This Row],[status]]="Operational",1,0)</f>
        <v>1</v>
      </c>
      <c r="L584">
        <f t="shared" si="18"/>
        <v>1</v>
      </c>
      <c r="M584" t="str">
        <f t="shared" si="19"/>
        <v>Odisha</v>
      </c>
    </row>
    <row r="585" spans="1:13">
      <c r="A585">
        <v>479250</v>
      </c>
      <c r="B585" t="s">
        <v>22</v>
      </c>
      <c r="C585" t="s">
        <v>12</v>
      </c>
      <c r="D585" t="s">
        <v>20</v>
      </c>
      <c r="E585" t="s">
        <v>13</v>
      </c>
      <c r="F585">
        <v>20.154535800000001</v>
      </c>
      <c r="G585">
        <v>85.063788099999996</v>
      </c>
      <c r="H585">
        <v>1</v>
      </c>
      <c r="I585" t="s">
        <v>14</v>
      </c>
      <c r="J585" t="s">
        <v>12</v>
      </c>
      <c r="K585">
        <f>IF(tbl_ChargingStation[[#This Row],[status]]="Operational",1,0)</f>
        <v>1</v>
      </c>
      <c r="L585">
        <f t="shared" si="18"/>
        <v>1</v>
      </c>
      <c r="M585" t="str">
        <f t="shared" si="19"/>
        <v>Odisha</v>
      </c>
    </row>
    <row r="586" spans="1:13">
      <c r="A586">
        <v>479249</v>
      </c>
      <c r="B586" t="s">
        <v>23</v>
      </c>
      <c r="C586" t="s">
        <v>12</v>
      </c>
      <c r="D586" t="s">
        <v>20</v>
      </c>
      <c r="E586" t="s">
        <v>13</v>
      </c>
      <c r="F586">
        <v>20.141300999999999</v>
      </c>
      <c r="G586">
        <v>83.968361999999999</v>
      </c>
      <c r="H586">
        <v>1</v>
      </c>
      <c r="I586" t="s">
        <v>14</v>
      </c>
      <c r="J586" t="s">
        <v>12</v>
      </c>
      <c r="K586">
        <f>IF(tbl_ChargingStation[[#This Row],[status]]="Operational",1,0)</f>
        <v>1</v>
      </c>
      <c r="L586">
        <f t="shared" si="18"/>
        <v>1</v>
      </c>
      <c r="M586" t="str">
        <f t="shared" si="19"/>
        <v>Odisha</v>
      </c>
    </row>
    <row r="587" spans="1:13">
      <c r="A587">
        <v>479248</v>
      </c>
      <c r="B587" t="s">
        <v>28</v>
      </c>
      <c r="C587" t="s">
        <v>12</v>
      </c>
      <c r="D587" t="s">
        <v>20</v>
      </c>
      <c r="E587" t="s">
        <v>13</v>
      </c>
      <c r="F587">
        <v>20.202786400000001</v>
      </c>
      <c r="G587">
        <v>82.936256</v>
      </c>
      <c r="H587">
        <v>1</v>
      </c>
      <c r="I587" t="s">
        <v>14</v>
      </c>
      <c r="J587" t="s">
        <v>12</v>
      </c>
      <c r="K587">
        <f>IF(tbl_ChargingStation[[#This Row],[status]]="Operational",1,0)</f>
        <v>1</v>
      </c>
      <c r="L587">
        <f t="shared" si="18"/>
        <v>1</v>
      </c>
      <c r="M587" t="str">
        <f t="shared" si="19"/>
        <v>Odisha</v>
      </c>
    </row>
    <row r="588" spans="1:13">
      <c r="A588">
        <v>479246</v>
      </c>
      <c r="B588" t="s">
        <v>52</v>
      </c>
      <c r="C588" t="s">
        <v>12</v>
      </c>
      <c r="D588" t="s">
        <v>20</v>
      </c>
      <c r="E588" t="s">
        <v>13</v>
      </c>
      <c r="F588">
        <v>20.029996300000001</v>
      </c>
      <c r="G588">
        <v>86.131915000000006</v>
      </c>
      <c r="H588">
        <v>1</v>
      </c>
      <c r="I588" t="s">
        <v>14</v>
      </c>
      <c r="J588" t="s">
        <v>12</v>
      </c>
      <c r="K588">
        <f>IF(tbl_ChargingStation[[#This Row],[status]]="Operational",1,0)</f>
        <v>1</v>
      </c>
      <c r="L588">
        <f t="shared" si="18"/>
        <v>1</v>
      </c>
      <c r="M588" t="str">
        <f t="shared" si="19"/>
        <v>Odisha</v>
      </c>
    </row>
    <row r="589" spans="1:13">
      <c r="A589">
        <v>479245</v>
      </c>
      <c r="B589" t="s">
        <v>32</v>
      </c>
      <c r="C589" t="s">
        <v>12</v>
      </c>
      <c r="D589" t="s">
        <v>20</v>
      </c>
      <c r="E589" t="s">
        <v>13</v>
      </c>
      <c r="F589">
        <v>20.036225999999999</v>
      </c>
      <c r="G589">
        <v>85.825446999999997</v>
      </c>
      <c r="H589">
        <v>1</v>
      </c>
      <c r="I589" t="s">
        <v>14</v>
      </c>
      <c r="J589" t="s">
        <v>12</v>
      </c>
      <c r="K589">
        <f>IF(tbl_ChargingStation[[#This Row],[status]]="Operational",1,0)</f>
        <v>1</v>
      </c>
      <c r="L589">
        <f t="shared" si="18"/>
        <v>1</v>
      </c>
      <c r="M589" t="str">
        <f t="shared" si="19"/>
        <v>Odisha</v>
      </c>
    </row>
    <row r="590" spans="1:13">
      <c r="A590">
        <v>479244</v>
      </c>
      <c r="B590" t="s">
        <v>32</v>
      </c>
      <c r="C590" t="s">
        <v>12</v>
      </c>
      <c r="D590" t="s">
        <v>20</v>
      </c>
      <c r="E590" t="s">
        <v>13</v>
      </c>
      <c r="F590">
        <v>19.9812257</v>
      </c>
      <c r="G590">
        <v>85.825119299999997</v>
      </c>
      <c r="H590">
        <v>1</v>
      </c>
      <c r="I590" t="s">
        <v>14</v>
      </c>
      <c r="J590" t="s">
        <v>12</v>
      </c>
      <c r="K590">
        <f>IF(tbl_ChargingStation[[#This Row],[status]]="Operational",1,0)</f>
        <v>1</v>
      </c>
      <c r="L590">
        <f t="shared" si="18"/>
        <v>1</v>
      </c>
      <c r="M590" t="str">
        <f t="shared" si="19"/>
        <v>Odisha</v>
      </c>
    </row>
    <row r="591" spans="1:13">
      <c r="A591">
        <v>479243</v>
      </c>
      <c r="B591" t="s">
        <v>25</v>
      </c>
      <c r="C591" t="s">
        <v>12</v>
      </c>
      <c r="D591" t="s">
        <v>20</v>
      </c>
      <c r="E591" t="s">
        <v>13</v>
      </c>
      <c r="F591">
        <v>20.001994</v>
      </c>
      <c r="G591">
        <v>85.820541399999996</v>
      </c>
      <c r="H591">
        <v>1</v>
      </c>
      <c r="I591" t="s">
        <v>14</v>
      </c>
      <c r="J591" t="s">
        <v>12</v>
      </c>
      <c r="K591">
        <f>IF(tbl_ChargingStation[[#This Row],[status]]="Operational",1,0)</f>
        <v>1</v>
      </c>
      <c r="L591">
        <f t="shared" si="18"/>
        <v>1</v>
      </c>
      <c r="M591" t="str">
        <f t="shared" si="19"/>
        <v>Odisha</v>
      </c>
    </row>
    <row r="592" spans="1:13">
      <c r="A592">
        <v>479242</v>
      </c>
      <c r="B592" t="s">
        <v>24</v>
      </c>
      <c r="C592" t="s">
        <v>12</v>
      </c>
      <c r="D592" t="s">
        <v>20</v>
      </c>
      <c r="E592" t="s">
        <v>13</v>
      </c>
      <c r="F592">
        <v>19.913864</v>
      </c>
      <c r="G592">
        <v>85.989750000000001</v>
      </c>
      <c r="H592">
        <v>1</v>
      </c>
      <c r="I592" t="s">
        <v>41</v>
      </c>
      <c r="J592" t="s">
        <v>12</v>
      </c>
      <c r="K592">
        <f>IF(tbl_ChargingStation[[#This Row],[status]]="Operational",1,0)</f>
        <v>0</v>
      </c>
      <c r="L592">
        <f t="shared" si="18"/>
        <v>0</v>
      </c>
      <c r="M592" t="str">
        <f t="shared" si="19"/>
        <v>Odisha</v>
      </c>
    </row>
    <row r="593" spans="1:13">
      <c r="A593">
        <v>479241</v>
      </c>
      <c r="B593" t="s">
        <v>28</v>
      </c>
      <c r="C593" t="s">
        <v>12</v>
      </c>
      <c r="D593" t="s">
        <v>20</v>
      </c>
      <c r="E593" t="s">
        <v>13</v>
      </c>
      <c r="F593">
        <v>20.008977699999999</v>
      </c>
      <c r="G593">
        <v>85.813849599999998</v>
      </c>
      <c r="H593">
        <v>1</v>
      </c>
      <c r="I593" t="s">
        <v>14</v>
      </c>
      <c r="J593" t="s">
        <v>12</v>
      </c>
      <c r="K593">
        <f>IF(tbl_ChargingStation[[#This Row],[status]]="Operational",1,0)</f>
        <v>1</v>
      </c>
      <c r="L593">
        <f t="shared" si="18"/>
        <v>1</v>
      </c>
      <c r="M593" t="str">
        <f t="shared" si="19"/>
        <v>Odisha</v>
      </c>
    </row>
    <row r="594" spans="1:13">
      <c r="A594">
        <v>479240</v>
      </c>
      <c r="B594" t="s">
        <v>29</v>
      </c>
      <c r="C594" t="s">
        <v>12</v>
      </c>
      <c r="D594" t="s">
        <v>20</v>
      </c>
      <c r="E594" t="s">
        <v>13</v>
      </c>
      <c r="F594">
        <v>20.009093499999999</v>
      </c>
      <c r="G594">
        <v>85.813832000000005</v>
      </c>
      <c r="H594">
        <v>1</v>
      </c>
      <c r="I594" t="s">
        <v>14</v>
      </c>
      <c r="J594" t="s">
        <v>12</v>
      </c>
      <c r="K594">
        <f>IF(tbl_ChargingStation[[#This Row],[status]]="Operational",1,0)</f>
        <v>1</v>
      </c>
      <c r="L594">
        <f t="shared" si="18"/>
        <v>1</v>
      </c>
      <c r="M594" t="str">
        <f t="shared" si="19"/>
        <v>Odisha</v>
      </c>
    </row>
    <row r="595" spans="1:13">
      <c r="A595">
        <v>479238</v>
      </c>
      <c r="B595" t="s">
        <v>22</v>
      </c>
      <c r="C595" t="s">
        <v>12</v>
      </c>
      <c r="D595" t="s">
        <v>20</v>
      </c>
      <c r="E595" t="s">
        <v>13</v>
      </c>
      <c r="F595">
        <v>19.887409000000002</v>
      </c>
      <c r="G595">
        <v>85.803106</v>
      </c>
      <c r="H595">
        <v>1</v>
      </c>
      <c r="I595" t="s">
        <v>14</v>
      </c>
      <c r="J595" t="s">
        <v>12</v>
      </c>
      <c r="K595">
        <f>IF(tbl_ChargingStation[[#This Row],[status]]="Operational",1,0)</f>
        <v>1</v>
      </c>
      <c r="L595">
        <f t="shared" si="18"/>
        <v>1</v>
      </c>
      <c r="M595" t="str">
        <f t="shared" si="19"/>
        <v>Odisha</v>
      </c>
    </row>
    <row r="596" spans="1:13">
      <c r="A596">
        <v>479237</v>
      </c>
      <c r="B596" t="s">
        <v>24</v>
      </c>
      <c r="C596" t="s">
        <v>12</v>
      </c>
      <c r="D596" t="s">
        <v>20</v>
      </c>
      <c r="E596" t="s">
        <v>13</v>
      </c>
      <c r="F596">
        <v>19.864923000000001</v>
      </c>
      <c r="G596">
        <v>85.665670000000006</v>
      </c>
      <c r="H596">
        <v>1</v>
      </c>
      <c r="I596" t="s">
        <v>14</v>
      </c>
      <c r="J596" t="s">
        <v>12</v>
      </c>
      <c r="K596">
        <f>IF(tbl_ChargingStation[[#This Row],[status]]="Operational",1,0)</f>
        <v>1</v>
      </c>
      <c r="L596">
        <f t="shared" si="18"/>
        <v>1</v>
      </c>
      <c r="M596" t="str">
        <f t="shared" si="19"/>
        <v>Odisha</v>
      </c>
    </row>
    <row r="597" spans="1:13">
      <c r="A597">
        <v>479236</v>
      </c>
      <c r="B597" t="s">
        <v>19</v>
      </c>
      <c r="C597" t="s">
        <v>12</v>
      </c>
      <c r="D597" t="s">
        <v>20</v>
      </c>
      <c r="E597" t="s">
        <v>13</v>
      </c>
      <c r="F597">
        <v>19.9604389</v>
      </c>
      <c r="G597">
        <v>85.433603099999999</v>
      </c>
      <c r="H597">
        <v>1</v>
      </c>
      <c r="I597" t="s">
        <v>14</v>
      </c>
      <c r="J597" t="s">
        <v>12</v>
      </c>
      <c r="K597">
        <f>IF(tbl_ChargingStation[[#This Row],[status]]="Operational",1,0)</f>
        <v>1</v>
      </c>
      <c r="L597">
        <f t="shared" si="18"/>
        <v>1</v>
      </c>
      <c r="M597" t="str">
        <f t="shared" si="19"/>
        <v>Odisha</v>
      </c>
    </row>
    <row r="598" spans="1:13">
      <c r="A598">
        <v>479235</v>
      </c>
      <c r="B598" t="s">
        <v>29</v>
      </c>
      <c r="C598" t="s">
        <v>12</v>
      </c>
      <c r="D598" t="s">
        <v>20</v>
      </c>
      <c r="E598" t="s">
        <v>13</v>
      </c>
      <c r="F598">
        <v>19.995597</v>
      </c>
      <c r="G598">
        <v>85.479968</v>
      </c>
      <c r="H598">
        <v>1</v>
      </c>
      <c r="I598" t="s">
        <v>14</v>
      </c>
      <c r="J598" t="s">
        <v>12</v>
      </c>
      <c r="K598">
        <f>IF(tbl_ChargingStation[[#This Row],[status]]="Operational",1,0)</f>
        <v>1</v>
      </c>
      <c r="L598">
        <f t="shared" si="18"/>
        <v>1</v>
      </c>
      <c r="M598" t="str">
        <f t="shared" si="19"/>
        <v>Odisha</v>
      </c>
    </row>
    <row r="599" spans="1:13">
      <c r="A599">
        <v>479234</v>
      </c>
      <c r="B599" t="s">
        <v>22</v>
      </c>
      <c r="C599" t="s">
        <v>12</v>
      </c>
      <c r="D599" t="s">
        <v>20</v>
      </c>
      <c r="E599" t="s">
        <v>13</v>
      </c>
      <c r="F599">
        <v>19.990167199999998</v>
      </c>
      <c r="G599">
        <v>85.473652700000002</v>
      </c>
      <c r="H599">
        <v>1</v>
      </c>
      <c r="I599" t="s">
        <v>14</v>
      </c>
      <c r="J599" t="s">
        <v>12</v>
      </c>
      <c r="K599">
        <f>IF(tbl_ChargingStation[[#This Row],[status]]="Operational",1,0)</f>
        <v>1</v>
      </c>
      <c r="L599">
        <f t="shared" si="18"/>
        <v>1</v>
      </c>
      <c r="M599" t="str">
        <f t="shared" si="19"/>
        <v>Odisha</v>
      </c>
    </row>
    <row r="600" spans="1:13">
      <c r="A600">
        <v>479233</v>
      </c>
      <c r="B600" t="s">
        <v>24</v>
      </c>
      <c r="C600" t="s">
        <v>12</v>
      </c>
      <c r="D600" t="s">
        <v>20</v>
      </c>
      <c r="E600" t="s">
        <v>13</v>
      </c>
      <c r="F600">
        <v>19.924364000000001</v>
      </c>
      <c r="G600">
        <v>84.571349999999995</v>
      </c>
      <c r="H600">
        <v>1</v>
      </c>
      <c r="I600" t="s">
        <v>14</v>
      </c>
      <c r="J600" t="s">
        <v>12</v>
      </c>
      <c r="K600">
        <f>IF(tbl_ChargingStation[[#This Row],[status]]="Operational",1,0)</f>
        <v>1</v>
      </c>
      <c r="L600">
        <f t="shared" si="18"/>
        <v>1</v>
      </c>
      <c r="M600" t="str">
        <f t="shared" si="19"/>
        <v>Odisha</v>
      </c>
    </row>
    <row r="601" spans="1:13">
      <c r="A601">
        <v>479232</v>
      </c>
      <c r="B601" t="s">
        <v>23</v>
      </c>
      <c r="C601" t="s">
        <v>12</v>
      </c>
      <c r="D601" t="s">
        <v>20</v>
      </c>
      <c r="E601" t="s">
        <v>13</v>
      </c>
      <c r="F601">
        <v>20.038906999999998</v>
      </c>
      <c r="G601">
        <v>84.638569000000004</v>
      </c>
      <c r="H601">
        <v>1</v>
      </c>
      <c r="I601" t="s">
        <v>14</v>
      </c>
      <c r="J601" t="s">
        <v>12</v>
      </c>
      <c r="K601">
        <f>IF(tbl_ChargingStation[[#This Row],[status]]="Operational",1,0)</f>
        <v>1</v>
      </c>
      <c r="L601">
        <f t="shared" si="18"/>
        <v>1</v>
      </c>
      <c r="M601" t="str">
        <f t="shared" si="19"/>
        <v>Odisha</v>
      </c>
    </row>
    <row r="602" spans="1:13">
      <c r="A602">
        <v>479231</v>
      </c>
      <c r="B602" t="s">
        <v>19</v>
      </c>
      <c r="C602" t="s">
        <v>12</v>
      </c>
      <c r="D602" t="s">
        <v>20</v>
      </c>
      <c r="E602" t="s">
        <v>13</v>
      </c>
      <c r="F602">
        <v>19.924914999999999</v>
      </c>
      <c r="G602">
        <v>83.174075000000002</v>
      </c>
      <c r="H602">
        <v>1</v>
      </c>
      <c r="I602" t="s">
        <v>14</v>
      </c>
      <c r="J602" t="s">
        <v>12</v>
      </c>
      <c r="K602">
        <f>IF(tbl_ChargingStation[[#This Row],[status]]="Operational",1,0)</f>
        <v>1</v>
      </c>
      <c r="L602">
        <f t="shared" si="18"/>
        <v>1</v>
      </c>
      <c r="M602" t="str">
        <f t="shared" si="19"/>
        <v>Odisha</v>
      </c>
    </row>
    <row r="603" spans="1:13">
      <c r="A603">
        <v>479229</v>
      </c>
      <c r="B603" t="s">
        <v>53</v>
      </c>
      <c r="C603" t="s">
        <v>12</v>
      </c>
      <c r="D603" t="s">
        <v>20</v>
      </c>
      <c r="E603" t="s">
        <v>13</v>
      </c>
      <c r="F603">
        <v>19.813480800000001</v>
      </c>
      <c r="G603">
        <v>85.836299699999998</v>
      </c>
      <c r="H603">
        <v>1</v>
      </c>
      <c r="I603" t="s">
        <v>14</v>
      </c>
      <c r="J603" t="s">
        <v>12</v>
      </c>
      <c r="K603">
        <f>IF(tbl_ChargingStation[[#This Row],[status]]="Operational",1,0)</f>
        <v>1</v>
      </c>
      <c r="L603">
        <f t="shared" si="18"/>
        <v>1</v>
      </c>
      <c r="M603" t="str">
        <f t="shared" si="19"/>
        <v>Odisha</v>
      </c>
    </row>
    <row r="604" spans="1:13">
      <c r="A604">
        <v>479228</v>
      </c>
      <c r="B604" t="s">
        <v>24</v>
      </c>
      <c r="C604" t="s">
        <v>12</v>
      </c>
      <c r="D604" t="s">
        <v>20</v>
      </c>
      <c r="E604" t="s">
        <v>13</v>
      </c>
      <c r="F604">
        <v>19.7952607</v>
      </c>
      <c r="G604">
        <v>85.813280899999995</v>
      </c>
      <c r="H604">
        <v>1</v>
      </c>
      <c r="I604" t="s">
        <v>14</v>
      </c>
      <c r="J604" t="s">
        <v>12</v>
      </c>
      <c r="K604">
        <f>IF(tbl_ChargingStation[[#This Row],[status]]="Operational",1,0)</f>
        <v>1</v>
      </c>
      <c r="L604">
        <f t="shared" si="18"/>
        <v>1</v>
      </c>
      <c r="M604" t="str">
        <f t="shared" si="19"/>
        <v>Odisha</v>
      </c>
    </row>
    <row r="605" spans="1:13">
      <c r="A605">
        <v>479227</v>
      </c>
      <c r="B605" t="s">
        <v>54</v>
      </c>
      <c r="C605" t="s">
        <v>12</v>
      </c>
      <c r="D605" t="s">
        <v>20</v>
      </c>
      <c r="E605" t="s">
        <v>13</v>
      </c>
      <c r="F605">
        <v>19.802419700000002</v>
      </c>
      <c r="G605">
        <v>85.823939899999999</v>
      </c>
      <c r="H605">
        <v>1</v>
      </c>
      <c r="I605" t="s">
        <v>14</v>
      </c>
      <c r="J605" t="s">
        <v>12</v>
      </c>
      <c r="K605">
        <f>IF(tbl_ChargingStation[[#This Row],[status]]="Operational",1,0)</f>
        <v>1</v>
      </c>
      <c r="L605">
        <f t="shared" si="18"/>
        <v>1</v>
      </c>
      <c r="M605" t="str">
        <f t="shared" si="19"/>
        <v>Odisha</v>
      </c>
    </row>
    <row r="606" spans="1:13">
      <c r="A606">
        <v>479226</v>
      </c>
      <c r="B606" t="s">
        <v>55</v>
      </c>
      <c r="C606" t="s">
        <v>12</v>
      </c>
      <c r="D606" t="s">
        <v>20</v>
      </c>
      <c r="E606" t="s">
        <v>13</v>
      </c>
      <c r="F606">
        <v>19.790746200000001</v>
      </c>
      <c r="G606">
        <v>85.803086800000003</v>
      </c>
      <c r="H606">
        <v>1</v>
      </c>
      <c r="I606" t="s">
        <v>14</v>
      </c>
      <c r="J606" t="s">
        <v>12</v>
      </c>
      <c r="K606">
        <f>IF(tbl_ChargingStation[[#This Row],[status]]="Operational",1,0)</f>
        <v>1</v>
      </c>
      <c r="L606">
        <f t="shared" si="18"/>
        <v>1</v>
      </c>
      <c r="M606" t="str">
        <f t="shared" si="19"/>
        <v>Odisha</v>
      </c>
    </row>
    <row r="607" spans="1:13">
      <c r="A607">
        <v>479225</v>
      </c>
      <c r="B607" t="s">
        <v>28</v>
      </c>
      <c r="C607" t="s">
        <v>12</v>
      </c>
      <c r="D607" t="s">
        <v>20</v>
      </c>
      <c r="E607" t="s">
        <v>13</v>
      </c>
      <c r="F607">
        <v>19.718938000000001</v>
      </c>
      <c r="G607">
        <v>85.5235713</v>
      </c>
      <c r="H607">
        <v>1</v>
      </c>
      <c r="I607" t="s">
        <v>14</v>
      </c>
      <c r="J607" t="s">
        <v>12</v>
      </c>
      <c r="K607">
        <f>IF(tbl_ChargingStation[[#This Row],[status]]="Operational",1,0)</f>
        <v>1</v>
      </c>
      <c r="L607">
        <f t="shared" si="18"/>
        <v>1</v>
      </c>
      <c r="M607" t="str">
        <f t="shared" si="19"/>
        <v>Odisha</v>
      </c>
    </row>
    <row r="608" spans="1:13">
      <c r="A608">
        <v>479224</v>
      </c>
      <c r="B608" t="s">
        <v>24</v>
      </c>
      <c r="C608" t="s">
        <v>12</v>
      </c>
      <c r="D608" t="s">
        <v>20</v>
      </c>
      <c r="E608" t="s">
        <v>13</v>
      </c>
      <c r="F608">
        <v>19.799157999999998</v>
      </c>
      <c r="G608">
        <v>85.664565999999994</v>
      </c>
      <c r="H608">
        <v>1</v>
      </c>
      <c r="I608" t="s">
        <v>14</v>
      </c>
      <c r="J608" t="s">
        <v>12</v>
      </c>
      <c r="K608">
        <f>IF(tbl_ChargingStation[[#This Row],[status]]="Operational",1,0)</f>
        <v>1</v>
      </c>
      <c r="L608">
        <f t="shared" si="18"/>
        <v>1</v>
      </c>
      <c r="M608" t="str">
        <f t="shared" si="19"/>
        <v>Odisha</v>
      </c>
    </row>
    <row r="609" spans="1:13">
      <c r="A609">
        <v>479223</v>
      </c>
      <c r="B609" t="s">
        <v>24</v>
      </c>
      <c r="C609" t="s">
        <v>12</v>
      </c>
      <c r="D609" t="s">
        <v>20</v>
      </c>
      <c r="E609" t="s">
        <v>13</v>
      </c>
      <c r="F609">
        <v>19.719349999999999</v>
      </c>
      <c r="G609">
        <v>85.524486800000005</v>
      </c>
      <c r="H609">
        <v>1</v>
      </c>
      <c r="I609" t="s">
        <v>14</v>
      </c>
      <c r="J609" t="s">
        <v>12</v>
      </c>
      <c r="K609">
        <f>IF(tbl_ChargingStation[[#This Row],[status]]="Operational",1,0)</f>
        <v>1</v>
      </c>
      <c r="L609">
        <f t="shared" si="18"/>
        <v>1</v>
      </c>
      <c r="M609" t="str">
        <f t="shared" si="19"/>
        <v>Odisha</v>
      </c>
    </row>
    <row r="610" spans="1:13">
      <c r="A610">
        <v>479222</v>
      </c>
      <c r="B610" t="s">
        <v>32</v>
      </c>
      <c r="C610" t="s">
        <v>12</v>
      </c>
      <c r="D610" t="s">
        <v>20</v>
      </c>
      <c r="E610" t="s">
        <v>13</v>
      </c>
      <c r="F610">
        <v>19.678550000000001</v>
      </c>
      <c r="G610">
        <v>85.171408999999997</v>
      </c>
      <c r="H610">
        <v>1</v>
      </c>
      <c r="I610" t="s">
        <v>14</v>
      </c>
      <c r="J610" t="s">
        <v>12</v>
      </c>
      <c r="K610">
        <f>IF(tbl_ChargingStation[[#This Row],[status]]="Operational",1,0)</f>
        <v>1</v>
      </c>
      <c r="L610">
        <f t="shared" si="18"/>
        <v>1</v>
      </c>
      <c r="M610" t="str">
        <f t="shared" si="19"/>
        <v>Odisha</v>
      </c>
    </row>
    <row r="611" spans="1:13">
      <c r="A611">
        <v>479221</v>
      </c>
      <c r="B611" t="s">
        <v>19</v>
      </c>
      <c r="C611" t="s">
        <v>12</v>
      </c>
      <c r="D611" t="s">
        <v>20</v>
      </c>
      <c r="E611" t="s">
        <v>13</v>
      </c>
      <c r="F611">
        <v>19.6782474</v>
      </c>
      <c r="G611">
        <v>85.1714786</v>
      </c>
      <c r="H611">
        <v>1</v>
      </c>
      <c r="I611" t="s">
        <v>14</v>
      </c>
      <c r="J611" t="s">
        <v>12</v>
      </c>
      <c r="K611">
        <f>IF(tbl_ChargingStation[[#This Row],[status]]="Operational",1,0)</f>
        <v>1</v>
      </c>
      <c r="L611">
        <f t="shared" si="18"/>
        <v>1</v>
      </c>
      <c r="M611" t="str">
        <f t="shared" si="19"/>
        <v>Odisha</v>
      </c>
    </row>
    <row r="612" spans="1:13">
      <c r="A612">
        <v>479220</v>
      </c>
      <c r="B612" t="s">
        <v>34</v>
      </c>
      <c r="C612" t="s">
        <v>12</v>
      </c>
      <c r="D612" t="s">
        <v>20</v>
      </c>
      <c r="E612" t="s">
        <v>13</v>
      </c>
      <c r="F612">
        <v>19.633155500000001</v>
      </c>
      <c r="G612">
        <v>85.135326300000003</v>
      </c>
      <c r="H612">
        <v>1</v>
      </c>
      <c r="I612" t="s">
        <v>14</v>
      </c>
      <c r="J612" t="s">
        <v>12</v>
      </c>
      <c r="K612">
        <f>IF(tbl_ChargingStation[[#This Row],[status]]="Operational",1,0)</f>
        <v>1</v>
      </c>
      <c r="L612">
        <f t="shared" si="18"/>
        <v>1</v>
      </c>
      <c r="M612" t="str">
        <f t="shared" si="19"/>
        <v>Odisha</v>
      </c>
    </row>
    <row r="613" spans="1:13">
      <c r="A613">
        <v>479218</v>
      </c>
      <c r="B613" t="s">
        <v>23</v>
      </c>
      <c r="C613" t="s">
        <v>12</v>
      </c>
      <c r="D613" t="s">
        <v>20</v>
      </c>
      <c r="E613" t="s">
        <v>13</v>
      </c>
      <c r="F613">
        <v>19.731375</v>
      </c>
      <c r="G613">
        <v>83.479140999999998</v>
      </c>
      <c r="H613">
        <v>1</v>
      </c>
      <c r="I613" t="s">
        <v>14</v>
      </c>
      <c r="J613" t="s">
        <v>12</v>
      </c>
      <c r="K613">
        <f>IF(tbl_ChargingStation[[#This Row],[status]]="Operational",1,0)</f>
        <v>1</v>
      </c>
      <c r="L613">
        <f t="shared" si="18"/>
        <v>1</v>
      </c>
      <c r="M613" t="str">
        <f t="shared" si="19"/>
        <v>Odisha</v>
      </c>
    </row>
    <row r="614" spans="1:13">
      <c r="A614">
        <v>479217</v>
      </c>
      <c r="B614" t="s">
        <v>19</v>
      </c>
      <c r="C614" t="s">
        <v>12</v>
      </c>
      <c r="D614" t="s">
        <v>20</v>
      </c>
      <c r="E614" t="s">
        <v>13</v>
      </c>
      <c r="F614">
        <v>19.652453000000001</v>
      </c>
      <c r="G614">
        <v>82.225618999999995</v>
      </c>
      <c r="H614">
        <v>1</v>
      </c>
      <c r="I614" t="s">
        <v>14</v>
      </c>
      <c r="J614" t="s">
        <v>12</v>
      </c>
      <c r="K614">
        <f>IF(tbl_ChargingStation[[#This Row],[status]]="Operational",1,0)</f>
        <v>1</v>
      </c>
      <c r="L614">
        <f t="shared" si="18"/>
        <v>1</v>
      </c>
      <c r="M614" t="str">
        <f t="shared" si="19"/>
        <v>Odisha</v>
      </c>
    </row>
    <row r="615" spans="1:13">
      <c r="A615">
        <v>479216</v>
      </c>
      <c r="B615" t="s">
        <v>24</v>
      </c>
      <c r="C615" t="s">
        <v>12</v>
      </c>
      <c r="D615" t="s">
        <v>20</v>
      </c>
      <c r="E615" t="s">
        <v>13</v>
      </c>
      <c r="F615">
        <v>19.311509999999998</v>
      </c>
      <c r="G615">
        <v>84.833539999999999</v>
      </c>
      <c r="H615">
        <v>1</v>
      </c>
      <c r="I615" t="s">
        <v>14</v>
      </c>
      <c r="J615" t="s">
        <v>12</v>
      </c>
      <c r="K615">
        <f>IF(tbl_ChargingStation[[#This Row],[status]]="Operational",1,0)</f>
        <v>1</v>
      </c>
      <c r="L615">
        <f t="shared" si="18"/>
        <v>1</v>
      </c>
      <c r="M615" t="str">
        <f t="shared" si="19"/>
        <v>Odisha</v>
      </c>
    </row>
    <row r="616" spans="1:13">
      <c r="A616">
        <v>479215</v>
      </c>
      <c r="B616" t="s">
        <v>24</v>
      </c>
      <c r="C616" t="s">
        <v>12</v>
      </c>
      <c r="D616" t="s">
        <v>20</v>
      </c>
      <c r="E616" t="s">
        <v>13</v>
      </c>
      <c r="F616">
        <v>19.341229999999999</v>
      </c>
      <c r="G616">
        <v>84.768450000000001</v>
      </c>
      <c r="H616">
        <v>1</v>
      </c>
      <c r="I616" t="s">
        <v>14</v>
      </c>
      <c r="J616" t="s">
        <v>12</v>
      </c>
      <c r="K616">
        <f>IF(tbl_ChargingStation[[#This Row],[status]]="Operational",1,0)</f>
        <v>1</v>
      </c>
      <c r="L616">
        <f t="shared" si="18"/>
        <v>1</v>
      </c>
      <c r="M616" t="str">
        <f t="shared" si="19"/>
        <v>Odisha</v>
      </c>
    </row>
    <row r="617" spans="1:13">
      <c r="A617">
        <v>479214</v>
      </c>
      <c r="B617" t="s">
        <v>24</v>
      </c>
      <c r="C617" t="s">
        <v>12</v>
      </c>
      <c r="D617" t="s">
        <v>20</v>
      </c>
      <c r="E617" t="s">
        <v>13</v>
      </c>
      <c r="F617">
        <v>19.324255000000001</v>
      </c>
      <c r="G617">
        <v>84.875029999999995</v>
      </c>
      <c r="H617">
        <v>1</v>
      </c>
      <c r="I617" t="s">
        <v>14</v>
      </c>
      <c r="J617" t="s">
        <v>12</v>
      </c>
      <c r="K617">
        <f>IF(tbl_ChargingStation[[#This Row],[status]]="Operational",1,0)</f>
        <v>1</v>
      </c>
      <c r="L617">
        <f t="shared" si="18"/>
        <v>1</v>
      </c>
      <c r="M617" t="str">
        <f t="shared" si="19"/>
        <v>Odisha</v>
      </c>
    </row>
    <row r="618" spans="1:13">
      <c r="A618">
        <v>479213</v>
      </c>
      <c r="B618" t="s">
        <v>28</v>
      </c>
      <c r="C618" t="s">
        <v>12</v>
      </c>
      <c r="D618" t="s">
        <v>20</v>
      </c>
      <c r="E618" t="s">
        <v>13</v>
      </c>
      <c r="F618">
        <v>19.317171699999999</v>
      </c>
      <c r="G618">
        <v>84.777247399999993</v>
      </c>
      <c r="H618">
        <v>1</v>
      </c>
      <c r="I618" t="s">
        <v>14</v>
      </c>
      <c r="J618" t="s">
        <v>12</v>
      </c>
      <c r="K618">
        <f>IF(tbl_ChargingStation[[#This Row],[status]]="Operational",1,0)</f>
        <v>1</v>
      </c>
      <c r="L618">
        <f t="shared" si="18"/>
        <v>1</v>
      </c>
      <c r="M618" t="str">
        <f t="shared" si="19"/>
        <v>Odisha</v>
      </c>
    </row>
    <row r="619" spans="1:13">
      <c r="A619">
        <v>479212</v>
      </c>
      <c r="B619" t="s">
        <v>28</v>
      </c>
      <c r="C619" t="s">
        <v>12</v>
      </c>
      <c r="D619" t="s">
        <v>20</v>
      </c>
      <c r="E619" t="s">
        <v>13</v>
      </c>
      <c r="F619">
        <v>19.307138599999998</v>
      </c>
      <c r="G619">
        <v>84.829227700000004</v>
      </c>
      <c r="H619">
        <v>1</v>
      </c>
      <c r="I619" t="s">
        <v>14</v>
      </c>
      <c r="J619" t="s">
        <v>12</v>
      </c>
      <c r="K619">
        <f>IF(tbl_ChargingStation[[#This Row],[status]]="Operational",1,0)</f>
        <v>1</v>
      </c>
      <c r="L619">
        <f t="shared" si="18"/>
        <v>1</v>
      </c>
      <c r="M619" t="str">
        <f t="shared" si="19"/>
        <v>Odisha</v>
      </c>
    </row>
    <row r="620" spans="1:13">
      <c r="A620">
        <v>479211</v>
      </c>
      <c r="B620" t="s">
        <v>28</v>
      </c>
      <c r="C620" t="s">
        <v>12</v>
      </c>
      <c r="D620" t="s">
        <v>20</v>
      </c>
      <c r="E620" t="s">
        <v>13</v>
      </c>
      <c r="F620">
        <v>19.3194175</v>
      </c>
      <c r="G620">
        <v>84.784486299999998</v>
      </c>
      <c r="H620">
        <v>1</v>
      </c>
      <c r="I620" t="s">
        <v>14</v>
      </c>
      <c r="J620" t="s">
        <v>12</v>
      </c>
      <c r="K620">
        <f>IF(tbl_ChargingStation[[#This Row],[status]]="Operational",1,0)</f>
        <v>1</v>
      </c>
      <c r="L620">
        <f t="shared" si="18"/>
        <v>1</v>
      </c>
      <c r="M620" t="str">
        <f t="shared" si="19"/>
        <v>Odisha</v>
      </c>
    </row>
    <row r="621" spans="1:13">
      <c r="A621">
        <v>479210</v>
      </c>
      <c r="B621" t="s">
        <v>24</v>
      </c>
      <c r="C621" t="s">
        <v>12</v>
      </c>
      <c r="D621" t="s">
        <v>20</v>
      </c>
      <c r="E621" t="s">
        <v>13</v>
      </c>
      <c r="F621">
        <v>19.308461999999999</v>
      </c>
      <c r="G621">
        <v>84.77319</v>
      </c>
      <c r="H621">
        <v>1</v>
      </c>
      <c r="I621" t="s">
        <v>14</v>
      </c>
      <c r="J621" t="s">
        <v>12</v>
      </c>
      <c r="K621">
        <f>IF(tbl_ChargingStation[[#This Row],[status]]="Operational",1,0)</f>
        <v>1</v>
      </c>
      <c r="L621">
        <f t="shared" si="18"/>
        <v>1</v>
      </c>
      <c r="M621" t="str">
        <f t="shared" si="19"/>
        <v>Odisha</v>
      </c>
    </row>
    <row r="622" spans="1:13">
      <c r="A622">
        <v>479209</v>
      </c>
      <c r="B622" t="s">
        <v>24</v>
      </c>
      <c r="C622" t="s">
        <v>12</v>
      </c>
      <c r="D622" t="s">
        <v>20</v>
      </c>
      <c r="E622" t="s">
        <v>13</v>
      </c>
      <c r="F622">
        <v>19.301504000000001</v>
      </c>
      <c r="G622">
        <v>84.830129999999997</v>
      </c>
      <c r="H622">
        <v>1</v>
      </c>
      <c r="I622" t="s">
        <v>14</v>
      </c>
      <c r="J622" t="s">
        <v>12</v>
      </c>
      <c r="K622">
        <f>IF(tbl_ChargingStation[[#This Row],[status]]="Operational",1,0)</f>
        <v>1</v>
      </c>
      <c r="L622">
        <f t="shared" si="18"/>
        <v>1</v>
      </c>
      <c r="M622" t="str">
        <f t="shared" si="19"/>
        <v>Odisha</v>
      </c>
    </row>
    <row r="623" spans="1:13">
      <c r="A623">
        <v>479208</v>
      </c>
      <c r="B623" t="s">
        <v>24</v>
      </c>
      <c r="C623" t="s">
        <v>12</v>
      </c>
      <c r="D623" t="s">
        <v>20</v>
      </c>
      <c r="E623" t="s">
        <v>13</v>
      </c>
      <c r="F623">
        <v>19.306038000000001</v>
      </c>
      <c r="G623">
        <v>84.781729999999996</v>
      </c>
      <c r="H623">
        <v>1</v>
      </c>
      <c r="I623" t="s">
        <v>41</v>
      </c>
      <c r="J623" t="s">
        <v>12</v>
      </c>
      <c r="K623">
        <f>IF(tbl_ChargingStation[[#This Row],[status]]="Operational",1,0)</f>
        <v>0</v>
      </c>
      <c r="L623">
        <f t="shared" si="18"/>
        <v>0</v>
      </c>
      <c r="M623" t="str">
        <f t="shared" si="19"/>
        <v>Odisha</v>
      </c>
    </row>
    <row r="624" spans="1:13">
      <c r="A624">
        <v>479206</v>
      </c>
      <c r="B624" t="s">
        <v>24</v>
      </c>
      <c r="C624" t="s">
        <v>12</v>
      </c>
      <c r="D624" t="s">
        <v>20</v>
      </c>
      <c r="E624" t="s">
        <v>13</v>
      </c>
      <c r="F624">
        <v>19.316079999999999</v>
      </c>
      <c r="G624">
        <v>84.852779999999996</v>
      </c>
      <c r="H624">
        <v>1</v>
      </c>
      <c r="I624" t="s">
        <v>14</v>
      </c>
      <c r="J624" t="s">
        <v>12</v>
      </c>
      <c r="K624">
        <f>IF(tbl_ChargingStation[[#This Row],[status]]="Operational",1,0)</f>
        <v>1</v>
      </c>
      <c r="L624">
        <f t="shared" si="18"/>
        <v>1</v>
      </c>
      <c r="M624" t="str">
        <f t="shared" si="19"/>
        <v>Odisha</v>
      </c>
    </row>
    <row r="625" spans="1:13">
      <c r="A625">
        <v>479205</v>
      </c>
      <c r="B625" t="s">
        <v>24</v>
      </c>
      <c r="C625" t="s">
        <v>12</v>
      </c>
      <c r="D625" t="s">
        <v>20</v>
      </c>
      <c r="E625" t="s">
        <v>13</v>
      </c>
      <c r="F625">
        <v>19.30744</v>
      </c>
      <c r="G625">
        <v>84.816649999999996</v>
      </c>
      <c r="H625">
        <v>1</v>
      </c>
      <c r="I625" t="s">
        <v>14</v>
      </c>
      <c r="J625" t="s">
        <v>12</v>
      </c>
      <c r="K625">
        <f>IF(tbl_ChargingStation[[#This Row],[status]]="Operational",1,0)</f>
        <v>1</v>
      </c>
      <c r="L625">
        <f t="shared" si="18"/>
        <v>1</v>
      </c>
      <c r="M625" t="str">
        <f t="shared" si="19"/>
        <v>Odisha</v>
      </c>
    </row>
    <row r="626" spans="1:13">
      <c r="A626">
        <v>479204</v>
      </c>
      <c r="B626" t="s">
        <v>28</v>
      </c>
      <c r="C626" t="s">
        <v>12</v>
      </c>
      <c r="D626" t="s">
        <v>20</v>
      </c>
      <c r="E626" t="s">
        <v>13</v>
      </c>
      <c r="F626">
        <v>19.317699699999999</v>
      </c>
      <c r="G626">
        <v>84.790583600000005</v>
      </c>
      <c r="H626">
        <v>1</v>
      </c>
      <c r="I626" t="s">
        <v>14</v>
      </c>
      <c r="J626" t="s">
        <v>12</v>
      </c>
      <c r="K626">
        <f>IF(tbl_ChargingStation[[#This Row],[status]]="Operational",1,0)</f>
        <v>1</v>
      </c>
      <c r="L626">
        <f t="shared" si="18"/>
        <v>1</v>
      </c>
      <c r="M626" t="str">
        <f t="shared" si="19"/>
        <v>Odisha</v>
      </c>
    </row>
    <row r="627" spans="1:13">
      <c r="A627">
        <v>479203</v>
      </c>
      <c r="B627" t="s">
        <v>24</v>
      </c>
      <c r="C627" t="s">
        <v>12</v>
      </c>
      <c r="D627" t="s">
        <v>20</v>
      </c>
      <c r="E627" t="s">
        <v>13</v>
      </c>
      <c r="F627">
        <v>19.321629999999999</v>
      </c>
      <c r="G627">
        <v>84.867149999999995</v>
      </c>
      <c r="H627">
        <v>1</v>
      </c>
      <c r="I627" t="s">
        <v>14</v>
      </c>
      <c r="J627" t="s">
        <v>12</v>
      </c>
      <c r="K627">
        <f>IF(tbl_ChargingStation[[#This Row],[status]]="Operational",1,0)</f>
        <v>1</v>
      </c>
      <c r="L627">
        <f t="shared" si="18"/>
        <v>1</v>
      </c>
      <c r="M627" t="str">
        <f t="shared" si="19"/>
        <v>Odisha</v>
      </c>
    </row>
    <row r="628" spans="1:13">
      <c r="A628">
        <v>479202</v>
      </c>
      <c r="B628" t="s">
        <v>24</v>
      </c>
      <c r="C628" t="s">
        <v>12</v>
      </c>
      <c r="D628" t="s">
        <v>20</v>
      </c>
      <c r="E628" t="s">
        <v>13</v>
      </c>
      <c r="F628">
        <v>19.319884999999999</v>
      </c>
      <c r="G628">
        <v>84.781130000000005</v>
      </c>
      <c r="H628">
        <v>1</v>
      </c>
      <c r="I628" t="s">
        <v>14</v>
      </c>
      <c r="J628" t="s">
        <v>12</v>
      </c>
      <c r="K628">
        <f>IF(tbl_ChargingStation[[#This Row],[status]]="Operational",1,0)</f>
        <v>1</v>
      </c>
      <c r="L628">
        <f t="shared" si="18"/>
        <v>1</v>
      </c>
      <c r="M628" t="str">
        <f t="shared" si="19"/>
        <v>Odisha</v>
      </c>
    </row>
    <row r="629" spans="1:13">
      <c r="A629">
        <v>479201</v>
      </c>
      <c r="B629" t="s">
        <v>24</v>
      </c>
      <c r="C629" t="s">
        <v>12</v>
      </c>
      <c r="D629" t="s">
        <v>20</v>
      </c>
      <c r="E629" t="s">
        <v>13</v>
      </c>
      <c r="F629">
        <v>19.2956471</v>
      </c>
      <c r="G629">
        <v>84.819565800000007</v>
      </c>
      <c r="H629">
        <v>1</v>
      </c>
      <c r="I629" t="s">
        <v>14</v>
      </c>
      <c r="J629" t="s">
        <v>12</v>
      </c>
      <c r="K629">
        <f>IF(tbl_ChargingStation[[#This Row],[status]]="Operational",1,0)</f>
        <v>1</v>
      </c>
      <c r="L629">
        <f t="shared" si="18"/>
        <v>1</v>
      </c>
      <c r="M629" t="str">
        <f t="shared" si="19"/>
        <v>Odisha</v>
      </c>
    </row>
    <row r="630" spans="1:13">
      <c r="A630">
        <v>479200</v>
      </c>
      <c r="B630" t="s">
        <v>29</v>
      </c>
      <c r="C630" t="s">
        <v>12</v>
      </c>
      <c r="D630" t="s">
        <v>20</v>
      </c>
      <c r="E630" t="s">
        <v>13</v>
      </c>
      <c r="F630">
        <v>19.334627000000001</v>
      </c>
      <c r="G630">
        <v>84.768619000000001</v>
      </c>
      <c r="H630">
        <v>1</v>
      </c>
      <c r="I630" t="s">
        <v>14</v>
      </c>
      <c r="J630" t="s">
        <v>12</v>
      </c>
      <c r="K630">
        <f>IF(tbl_ChargingStation[[#This Row],[status]]="Operational",1,0)</f>
        <v>1</v>
      </c>
      <c r="L630">
        <f t="shared" si="18"/>
        <v>1</v>
      </c>
      <c r="M630" t="str">
        <f t="shared" si="19"/>
        <v>Odisha</v>
      </c>
    </row>
    <row r="631" spans="1:13">
      <c r="A631">
        <v>479199</v>
      </c>
      <c r="B631" t="s">
        <v>25</v>
      </c>
      <c r="C631" t="s">
        <v>12</v>
      </c>
      <c r="D631" t="s">
        <v>20</v>
      </c>
      <c r="E631" t="s">
        <v>13</v>
      </c>
      <c r="F631">
        <v>19.305727699999998</v>
      </c>
      <c r="G631">
        <v>84.781726800000001</v>
      </c>
      <c r="H631">
        <v>1</v>
      </c>
      <c r="I631" t="s">
        <v>41</v>
      </c>
      <c r="J631" t="s">
        <v>12</v>
      </c>
      <c r="K631">
        <f>IF(tbl_ChargingStation[[#This Row],[status]]="Operational",1,0)</f>
        <v>0</v>
      </c>
      <c r="L631">
        <f t="shared" si="18"/>
        <v>0</v>
      </c>
      <c r="M631" t="str">
        <f t="shared" si="19"/>
        <v>Odisha</v>
      </c>
    </row>
    <row r="632" spans="1:13">
      <c r="A632">
        <v>479198</v>
      </c>
      <c r="B632" t="s">
        <v>24</v>
      </c>
      <c r="C632" t="s">
        <v>12</v>
      </c>
      <c r="D632" t="s">
        <v>20</v>
      </c>
      <c r="E632" t="s">
        <v>13</v>
      </c>
      <c r="F632">
        <v>19.303381000000002</v>
      </c>
      <c r="G632">
        <v>84.795044000000004</v>
      </c>
      <c r="H632">
        <v>1</v>
      </c>
      <c r="I632" t="s">
        <v>14</v>
      </c>
      <c r="J632" t="s">
        <v>12</v>
      </c>
      <c r="K632">
        <f>IF(tbl_ChargingStation[[#This Row],[status]]="Operational",1,0)</f>
        <v>1</v>
      </c>
      <c r="L632">
        <f t="shared" si="18"/>
        <v>1</v>
      </c>
      <c r="M632" t="str">
        <f t="shared" si="19"/>
        <v>Odisha</v>
      </c>
    </row>
    <row r="633" spans="1:13">
      <c r="A633">
        <v>479197</v>
      </c>
      <c r="B633" t="s">
        <v>19</v>
      </c>
      <c r="C633" t="s">
        <v>12</v>
      </c>
      <c r="D633" t="s">
        <v>20</v>
      </c>
      <c r="E633" t="s">
        <v>13</v>
      </c>
      <c r="F633">
        <v>19.299171399999999</v>
      </c>
      <c r="G633">
        <v>84.831763100000003</v>
      </c>
      <c r="H633">
        <v>1</v>
      </c>
      <c r="I633" t="s">
        <v>14</v>
      </c>
      <c r="J633" t="s">
        <v>12</v>
      </c>
      <c r="K633">
        <f>IF(tbl_ChargingStation[[#This Row],[status]]="Operational",1,0)</f>
        <v>1</v>
      </c>
      <c r="L633">
        <f t="shared" si="18"/>
        <v>1</v>
      </c>
      <c r="M633" t="str">
        <f t="shared" si="19"/>
        <v>Odisha</v>
      </c>
    </row>
    <row r="634" spans="1:13">
      <c r="A634">
        <v>479196</v>
      </c>
      <c r="B634" t="s">
        <v>56</v>
      </c>
      <c r="C634" t="s">
        <v>12</v>
      </c>
      <c r="D634" t="s">
        <v>20</v>
      </c>
      <c r="E634" t="s">
        <v>13</v>
      </c>
      <c r="F634">
        <v>19.447534999999998</v>
      </c>
      <c r="G634">
        <v>84.591458000000003</v>
      </c>
      <c r="H634">
        <v>1</v>
      </c>
      <c r="I634" t="s">
        <v>14</v>
      </c>
      <c r="J634" t="s">
        <v>12</v>
      </c>
      <c r="K634">
        <f>IF(tbl_ChargingStation[[#This Row],[status]]="Operational",1,0)</f>
        <v>1</v>
      </c>
      <c r="L634">
        <f t="shared" si="18"/>
        <v>1</v>
      </c>
      <c r="M634" t="str">
        <f t="shared" si="19"/>
        <v>Odisha</v>
      </c>
    </row>
    <row r="635" spans="1:13">
      <c r="A635">
        <v>479195</v>
      </c>
      <c r="B635" t="s">
        <v>28</v>
      </c>
      <c r="C635" t="s">
        <v>12</v>
      </c>
      <c r="D635" t="s">
        <v>20</v>
      </c>
      <c r="E635" t="s">
        <v>13</v>
      </c>
      <c r="F635">
        <v>19.180776000000002</v>
      </c>
      <c r="G635">
        <v>84.725326999999993</v>
      </c>
      <c r="H635">
        <v>1</v>
      </c>
      <c r="I635" t="s">
        <v>14</v>
      </c>
      <c r="J635" t="s">
        <v>12</v>
      </c>
      <c r="K635">
        <f>IF(tbl_ChargingStation[[#This Row],[status]]="Operational",1,0)</f>
        <v>1</v>
      </c>
      <c r="L635">
        <f t="shared" si="18"/>
        <v>1</v>
      </c>
      <c r="M635" t="str">
        <f t="shared" si="19"/>
        <v>Odisha</v>
      </c>
    </row>
    <row r="636" spans="1:13">
      <c r="A636">
        <v>479194</v>
      </c>
      <c r="B636" t="s">
        <v>24</v>
      </c>
      <c r="C636" t="s">
        <v>12</v>
      </c>
      <c r="D636" t="s">
        <v>20</v>
      </c>
      <c r="E636" t="s">
        <v>13</v>
      </c>
      <c r="F636">
        <v>19.268920000000001</v>
      </c>
      <c r="G636">
        <v>84.777450000000002</v>
      </c>
      <c r="H636">
        <v>1</v>
      </c>
      <c r="I636" t="s">
        <v>41</v>
      </c>
      <c r="J636" t="s">
        <v>12</v>
      </c>
      <c r="K636">
        <f>IF(tbl_ChargingStation[[#This Row],[status]]="Operational",1,0)</f>
        <v>0</v>
      </c>
      <c r="L636">
        <f t="shared" si="18"/>
        <v>0</v>
      </c>
      <c r="M636" t="str">
        <f t="shared" si="19"/>
        <v>Odisha</v>
      </c>
    </row>
    <row r="637" spans="1:13">
      <c r="A637">
        <v>479193</v>
      </c>
      <c r="B637" t="s">
        <v>29</v>
      </c>
      <c r="C637" t="s">
        <v>12</v>
      </c>
      <c r="D637" t="s">
        <v>20</v>
      </c>
      <c r="E637" t="s">
        <v>13</v>
      </c>
      <c r="F637">
        <v>19.183323999999999</v>
      </c>
      <c r="G637">
        <v>84.727615999999998</v>
      </c>
      <c r="H637">
        <v>1</v>
      </c>
      <c r="I637" t="s">
        <v>14</v>
      </c>
      <c r="J637" t="s">
        <v>12</v>
      </c>
      <c r="K637">
        <f>IF(tbl_ChargingStation[[#This Row],[status]]="Operational",1,0)</f>
        <v>1</v>
      </c>
      <c r="L637">
        <f t="shared" si="18"/>
        <v>1</v>
      </c>
      <c r="M637" t="str">
        <f t="shared" si="19"/>
        <v>Odisha</v>
      </c>
    </row>
    <row r="638" spans="1:13">
      <c r="A638">
        <v>479192</v>
      </c>
      <c r="B638" t="s">
        <v>24</v>
      </c>
      <c r="C638" t="s">
        <v>12</v>
      </c>
      <c r="D638" t="s">
        <v>20</v>
      </c>
      <c r="E638" t="s">
        <v>13</v>
      </c>
      <c r="F638">
        <v>19.194212</v>
      </c>
      <c r="G638">
        <v>84.617559999999997</v>
      </c>
      <c r="H638">
        <v>1</v>
      </c>
      <c r="I638" t="s">
        <v>14</v>
      </c>
      <c r="J638" t="s">
        <v>12</v>
      </c>
      <c r="K638">
        <f>IF(tbl_ChargingStation[[#This Row],[status]]="Operational",1,0)</f>
        <v>1</v>
      </c>
      <c r="L638">
        <f t="shared" si="18"/>
        <v>1</v>
      </c>
      <c r="M638" t="str">
        <f t="shared" si="19"/>
        <v>Odisha</v>
      </c>
    </row>
    <row r="639" spans="1:13">
      <c r="A639">
        <v>479191</v>
      </c>
      <c r="B639" t="s">
        <v>24</v>
      </c>
      <c r="C639" t="s">
        <v>12</v>
      </c>
      <c r="D639" t="s">
        <v>20</v>
      </c>
      <c r="E639" t="s">
        <v>13</v>
      </c>
      <c r="F639">
        <v>18.845465000000001</v>
      </c>
      <c r="G639">
        <v>84.503100000000003</v>
      </c>
      <c r="H639">
        <v>1</v>
      </c>
      <c r="I639" t="s">
        <v>14</v>
      </c>
      <c r="J639" t="s">
        <v>12</v>
      </c>
      <c r="K639">
        <f>IF(tbl_ChargingStation[[#This Row],[status]]="Operational",1,0)</f>
        <v>1</v>
      </c>
      <c r="L639">
        <f t="shared" si="18"/>
        <v>1</v>
      </c>
      <c r="M639" t="str">
        <f t="shared" si="19"/>
        <v>Odisha</v>
      </c>
    </row>
    <row r="640" spans="1:13">
      <c r="A640">
        <v>479190</v>
      </c>
      <c r="B640" t="s">
        <v>57</v>
      </c>
      <c r="C640" t="s">
        <v>12</v>
      </c>
      <c r="D640" t="s">
        <v>20</v>
      </c>
      <c r="E640" t="s">
        <v>13</v>
      </c>
      <c r="F640">
        <v>18.802062500000002</v>
      </c>
      <c r="G640">
        <v>83.991812499999995</v>
      </c>
      <c r="H640">
        <v>1</v>
      </c>
      <c r="I640" t="s">
        <v>14</v>
      </c>
      <c r="J640" t="s">
        <v>12</v>
      </c>
      <c r="K640">
        <f>IF(tbl_ChargingStation[[#This Row],[status]]="Operational",1,0)</f>
        <v>1</v>
      </c>
      <c r="L640">
        <f t="shared" si="18"/>
        <v>1</v>
      </c>
      <c r="M640" t="str">
        <f t="shared" si="19"/>
        <v>Odisha</v>
      </c>
    </row>
    <row r="641" spans="1:13">
      <c r="A641">
        <v>479189</v>
      </c>
      <c r="B641" t="s">
        <v>28</v>
      </c>
      <c r="C641" t="s">
        <v>12</v>
      </c>
      <c r="D641" t="s">
        <v>20</v>
      </c>
      <c r="E641" t="s">
        <v>13</v>
      </c>
      <c r="F641">
        <v>18.768916699999998</v>
      </c>
      <c r="G641">
        <v>83.421538699999999</v>
      </c>
      <c r="H641">
        <v>1</v>
      </c>
      <c r="I641" t="s">
        <v>14</v>
      </c>
      <c r="J641" t="s">
        <v>12</v>
      </c>
      <c r="K641">
        <f>IF(tbl_ChargingStation[[#This Row],[status]]="Operational",1,0)</f>
        <v>1</v>
      </c>
      <c r="L641">
        <f t="shared" si="18"/>
        <v>1</v>
      </c>
      <c r="M641" t="str">
        <f t="shared" si="19"/>
        <v>Odisha</v>
      </c>
    </row>
    <row r="642" spans="1:13">
      <c r="A642">
        <v>479188</v>
      </c>
      <c r="B642" t="s">
        <v>19</v>
      </c>
      <c r="C642" t="s">
        <v>12</v>
      </c>
      <c r="D642" t="s">
        <v>20</v>
      </c>
      <c r="E642" t="s">
        <v>13</v>
      </c>
      <c r="F642">
        <v>18.8582131</v>
      </c>
      <c r="G642">
        <v>82.589905099999996</v>
      </c>
      <c r="H642">
        <v>1</v>
      </c>
      <c r="I642" t="s">
        <v>14</v>
      </c>
      <c r="J642" t="s">
        <v>12</v>
      </c>
      <c r="K642">
        <f>IF(tbl_ChargingStation[[#This Row],[status]]="Operational",1,0)</f>
        <v>1</v>
      </c>
      <c r="L642">
        <f t="shared" ref="L642:L705" si="20">H642*K642</f>
        <v>1</v>
      </c>
      <c r="M642" t="str">
        <f t="shared" ref="M642:M705" si="21">IF(D642="GJ","Gujarat",IF(OR(D642="Keral",D642="Keraka",D642="Lerala"),"Kerala",IF(D642="MH","Maharashtra",IF(D642="MP","Madhya Pradesh",IF(D642="RJ","Rajasthan",IF(D642="TAMILNADU","Tamil Nadu",IF(D642="Uttarakhnad","Uttarakhand",D642)))))))</f>
        <v>Odisha</v>
      </c>
    </row>
    <row r="643" spans="1:13">
      <c r="A643">
        <v>479186</v>
      </c>
      <c r="B643" t="s">
        <v>24</v>
      </c>
      <c r="C643" t="s">
        <v>12</v>
      </c>
      <c r="D643" t="s">
        <v>20</v>
      </c>
      <c r="E643" t="s">
        <v>13</v>
      </c>
      <c r="F643">
        <v>18.606024000000001</v>
      </c>
      <c r="G643">
        <v>84.229915000000005</v>
      </c>
      <c r="H643">
        <v>1</v>
      </c>
      <c r="I643" t="s">
        <v>14</v>
      </c>
      <c r="J643" t="s">
        <v>12</v>
      </c>
      <c r="K643">
        <f>IF(tbl_ChargingStation[[#This Row],[status]]="Operational",1,0)</f>
        <v>1</v>
      </c>
      <c r="L643">
        <f t="shared" si="20"/>
        <v>1</v>
      </c>
      <c r="M643" t="str">
        <f t="shared" si="21"/>
        <v>Odisha</v>
      </c>
    </row>
    <row r="644" spans="1:13">
      <c r="A644">
        <v>479185</v>
      </c>
      <c r="B644" t="s">
        <v>19</v>
      </c>
      <c r="C644" t="s">
        <v>12</v>
      </c>
      <c r="D644" t="s">
        <v>20</v>
      </c>
      <c r="E644" t="s">
        <v>13</v>
      </c>
      <c r="F644">
        <v>18.534752999999998</v>
      </c>
      <c r="G644">
        <v>83.651338999999993</v>
      </c>
      <c r="H644">
        <v>1</v>
      </c>
      <c r="I644" t="s">
        <v>14</v>
      </c>
      <c r="J644" t="s">
        <v>12</v>
      </c>
      <c r="K644">
        <f>IF(tbl_ChargingStation[[#This Row],[status]]="Operational",1,0)</f>
        <v>1</v>
      </c>
      <c r="L644">
        <f t="shared" si="20"/>
        <v>1</v>
      </c>
      <c r="M644" t="str">
        <f t="shared" si="21"/>
        <v>Odisha</v>
      </c>
    </row>
    <row r="645" spans="1:13">
      <c r="A645">
        <v>479184</v>
      </c>
      <c r="B645" t="s">
        <v>58</v>
      </c>
      <c r="C645" t="s">
        <v>12</v>
      </c>
      <c r="D645" t="s">
        <v>20</v>
      </c>
      <c r="E645" t="s">
        <v>13</v>
      </c>
      <c r="F645">
        <v>18.597046500000001</v>
      </c>
      <c r="G645">
        <v>83.764094499999999</v>
      </c>
      <c r="H645">
        <v>1</v>
      </c>
      <c r="I645" t="s">
        <v>14</v>
      </c>
      <c r="J645" t="s">
        <v>12</v>
      </c>
      <c r="K645">
        <f>IF(tbl_ChargingStation[[#This Row],[status]]="Operational",1,0)</f>
        <v>1</v>
      </c>
      <c r="L645">
        <f t="shared" si="20"/>
        <v>1</v>
      </c>
      <c r="M645" t="str">
        <f t="shared" si="21"/>
        <v>Odisha</v>
      </c>
    </row>
    <row r="646" spans="1:13">
      <c r="A646">
        <v>479183</v>
      </c>
      <c r="B646" t="s">
        <v>28</v>
      </c>
      <c r="C646" t="s">
        <v>12</v>
      </c>
      <c r="D646" t="s">
        <v>20</v>
      </c>
      <c r="E646" t="s">
        <v>13</v>
      </c>
      <c r="F646">
        <v>18.610439400000001</v>
      </c>
      <c r="G646">
        <v>83.399228500000007</v>
      </c>
      <c r="H646">
        <v>1</v>
      </c>
      <c r="I646" t="s">
        <v>14</v>
      </c>
      <c r="J646" t="s">
        <v>12</v>
      </c>
      <c r="K646">
        <f>IF(tbl_ChargingStation[[#This Row],[status]]="Operational",1,0)</f>
        <v>1</v>
      </c>
      <c r="L646">
        <f t="shared" si="20"/>
        <v>1</v>
      </c>
      <c r="M646" t="str">
        <f t="shared" si="21"/>
        <v>Odisha</v>
      </c>
    </row>
    <row r="647" spans="1:13">
      <c r="A647">
        <v>479182</v>
      </c>
      <c r="B647" t="s">
        <v>19</v>
      </c>
      <c r="C647" t="s">
        <v>12</v>
      </c>
      <c r="D647" t="s">
        <v>20</v>
      </c>
      <c r="E647" t="s">
        <v>13</v>
      </c>
      <c r="F647">
        <v>18.503509300000001</v>
      </c>
      <c r="G647">
        <v>83.246970500000003</v>
      </c>
      <c r="H647">
        <v>1</v>
      </c>
      <c r="I647" t="s">
        <v>14</v>
      </c>
      <c r="J647" t="s">
        <v>12</v>
      </c>
      <c r="K647">
        <f>IF(tbl_ChargingStation[[#This Row],[status]]="Operational",1,0)</f>
        <v>1</v>
      </c>
      <c r="L647">
        <f t="shared" si="20"/>
        <v>1</v>
      </c>
      <c r="M647" t="str">
        <f t="shared" si="21"/>
        <v>Odisha</v>
      </c>
    </row>
    <row r="648" spans="1:13">
      <c r="A648">
        <v>479181</v>
      </c>
      <c r="B648" t="s">
        <v>23</v>
      </c>
      <c r="C648" t="s">
        <v>12</v>
      </c>
      <c r="D648" t="s">
        <v>20</v>
      </c>
      <c r="E648" t="s">
        <v>13</v>
      </c>
      <c r="F648">
        <v>18.701207799999999</v>
      </c>
      <c r="G648">
        <v>82.879836999999995</v>
      </c>
      <c r="H648">
        <v>1</v>
      </c>
      <c r="I648" t="s">
        <v>14</v>
      </c>
      <c r="J648" t="s">
        <v>12</v>
      </c>
      <c r="K648">
        <f>IF(tbl_ChargingStation[[#This Row],[status]]="Operational",1,0)</f>
        <v>1</v>
      </c>
      <c r="L648">
        <f t="shared" si="20"/>
        <v>1</v>
      </c>
      <c r="M648" t="str">
        <f t="shared" si="21"/>
        <v>Odisha</v>
      </c>
    </row>
    <row r="649" spans="1:13">
      <c r="A649">
        <v>479180</v>
      </c>
      <c r="B649" t="s">
        <v>24</v>
      </c>
      <c r="C649" t="s">
        <v>12</v>
      </c>
      <c r="D649" t="s">
        <v>20</v>
      </c>
      <c r="E649" t="s">
        <v>13</v>
      </c>
      <c r="F649">
        <v>18.295933000000002</v>
      </c>
      <c r="G649">
        <v>83.893147999999997</v>
      </c>
      <c r="H649">
        <v>1</v>
      </c>
      <c r="I649" t="s">
        <v>14</v>
      </c>
      <c r="J649" t="s">
        <v>12</v>
      </c>
      <c r="K649">
        <f>IF(tbl_ChargingStation[[#This Row],[status]]="Operational",1,0)</f>
        <v>1</v>
      </c>
      <c r="L649">
        <f t="shared" si="20"/>
        <v>1</v>
      </c>
      <c r="M649" t="str">
        <f t="shared" si="21"/>
        <v>Odisha</v>
      </c>
    </row>
    <row r="650" spans="1:13">
      <c r="A650">
        <v>479179</v>
      </c>
      <c r="B650" t="s">
        <v>32</v>
      </c>
      <c r="C650" t="s">
        <v>12</v>
      </c>
      <c r="D650" t="s">
        <v>20</v>
      </c>
      <c r="E650" t="s">
        <v>13</v>
      </c>
      <c r="F650">
        <v>18.326279100000001</v>
      </c>
      <c r="G650">
        <v>83.941267999999994</v>
      </c>
      <c r="H650">
        <v>1</v>
      </c>
      <c r="I650" t="s">
        <v>14</v>
      </c>
      <c r="J650" t="s">
        <v>12</v>
      </c>
      <c r="K650">
        <f>IF(tbl_ChargingStation[[#This Row],[status]]="Operational",1,0)</f>
        <v>1</v>
      </c>
      <c r="L650">
        <f t="shared" si="20"/>
        <v>1</v>
      </c>
      <c r="M650" t="str">
        <f t="shared" si="21"/>
        <v>Odisha</v>
      </c>
    </row>
    <row r="651" spans="1:13">
      <c r="A651">
        <v>479178</v>
      </c>
      <c r="B651" t="s">
        <v>19</v>
      </c>
      <c r="C651" t="s">
        <v>12</v>
      </c>
      <c r="D651" t="s">
        <v>20</v>
      </c>
      <c r="E651" t="s">
        <v>13</v>
      </c>
      <c r="F651">
        <v>18.324358799999999</v>
      </c>
      <c r="G651">
        <v>83.939110200000002</v>
      </c>
      <c r="H651">
        <v>1</v>
      </c>
      <c r="I651" t="s">
        <v>14</v>
      </c>
      <c r="J651" t="s">
        <v>12</v>
      </c>
      <c r="K651">
        <f>IF(tbl_ChargingStation[[#This Row],[status]]="Operational",1,0)</f>
        <v>1</v>
      </c>
      <c r="L651">
        <f t="shared" si="20"/>
        <v>1</v>
      </c>
      <c r="M651" t="str">
        <f t="shared" si="21"/>
        <v>Odisha</v>
      </c>
    </row>
    <row r="652" spans="1:13">
      <c r="A652">
        <v>479177</v>
      </c>
      <c r="B652" t="s">
        <v>59</v>
      </c>
      <c r="C652" t="s">
        <v>12</v>
      </c>
      <c r="D652" t="s">
        <v>20</v>
      </c>
      <c r="E652" t="s">
        <v>13</v>
      </c>
      <c r="F652">
        <v>18.322673600000002</v>
      </c>
      <c r="G652">
        <v>83.893721999999997</v>
      </c>
      <c r="H652">
        <v>1</v>
      </c>
      <c r="I652" t="s">
        <v>14</v>
      </c>
      <c r="J652" t="s">
        <v>12</v>
      </c>
      <c r="K652">
        <f>IF(tbl_ChargingStation[[#This Row],[status]]="Operational",1,0)</f>
        <v>1</v>
      </c>
      <c r="L652">
        <f t="shared" si="20"/>
        <v>1</v>
      </c>
      <c r="M652" t="str">
        <f t="shared" si="21"/>
        <v>Odisha</v>
      </c>
    </row>
    <row r="653" spans="1:13">
      <c r="A653">
        <v>479176</v>
      </c>
      <c r="B653" t="s">
        <v>60</v>
      </c>
      <c r="C653" t="s">
        <v>12</v>
      </c>
      <c r="D653" t="s">
        <v>20</v>
      </c>
      <c r="E653" t="s">
        <v>13</v>
      </c>
      <c r="F653">
        <v>18.424328500000001</v>
      </c>
      <c r="G653">
        <v>84.048024600000005</v>
      </c>
      <c r="H653">
        <v>1</v>
      </c>
      <c r="I653" t="s">
        <v>14</v>
      </c>
      <c r="J653" t="s">
        <v>12</v>
      </c>
      <c r="K653">
        <f>IF(tbl_ChargingStation[[#This Row],[status]]="Operational",1,0)</f>
        <v>1</v>
      </c>
      <c r="L653">
        <f t="shared" si="20"/>
        <v>1</v>
      </c>
      <c r="M653" t="str">
        <f t="shared" si="21"/>
        <v>Odisha</v>
      </c>
    </row>
    <row r="654" spans="1:13">
      <c r="A654">
        <v>479175</v>
      </c>
      <c r="B654" t="s">
        <v>61</v>
      </c>
      <c r="C654" t="s">
        <v>12</v>
      </c>
      <c r="D654" t="s">
        <v>20</v>
      </c>
      <c r="E654" t="s">
        <v>13</v>
      </c>
      <c r="F654">
        <v>18.309546000000001</v>
      </c>
      <c r="G654">
        <v>83.918819999999997</v>
      </c>
      <c r="H654">
        <v>1</v>
      </c>
      <c r="I654" t="s">
        <v>14</v>
      </c>
      <c r="J654" t="s">
        <v>12</v>
      </c>
      <c r="K654">
        <f>IF(tbl_ChargingStation[[#This Row],[status]]="Operational",1,0)</f>
        <v>1</v>
      </c>
      <c r="L654">
        <f t="shared" si="20"/>
        <v>1</v>
      </c>
      <c r="M654" t="str">
        <f t="shared" si="21"/>
        <v>Odisha</v>
      </c>
    </row>
    <row r="655" spans="1:13">
      <c r="A655">
        <v>479174</v>
      </c>
      <c r="B655" t="s">
        <v>62</v>
      </c>
      <c r="C655" t="s">
        <v>12</v>
      </c>
      <c r="D655" t="s">
        <v>20</v>
      </c>
      <c r="E655" t="s">
        <v>13</v>
      </c>
      <c r="F655">
        <v>18.300440800000001</v>
      </c>
      <c r="G655">
        <v>83.871162799999993</v>
      </c>
      <c r="H655">
        <v>1</v>
      </c>
      <c r="I655" t="s">
        <v>14</v>
      </c>
      <c r="J655" t="s">
        <v>12</v>
      </c>
      <c r="K655">
        <f>IF(tbl_ChargingStation[[#This Row],[status]]="Operational",1,0)</f>
        <v>1</v>
      </c>
      <c r="L655">
        <f t="shared" si="20"/>
        <v>1</v>
      </c>
      <c r="M655" t="str">
        <f t="shared" si="21"/>
        <v>Odisha</v>
      </c>
    </row>
    <row r="656" spans="1:13">
      <c r="A656">
        <v>479173</v>
      </c>
      <c r="B656" t="s">
        <v>23</v>
      </c>
      <c r="C656" t="s">
        <v>12</v>
      </c>
      <c r="D656" t="s">
        <v>20</v>
      </c>
      <c r="E656" t="s">
        <v>13</v>
      </c>
      <c r="F656">
        <v>18.289377999999999</v>
      </c>
      <c r="G656">
        <v>83.914593999999994</v>
      </c>
      <c r="H656">
        <v>1</v>
      </c>
      <c r="I656" t="s">
        <v>14</v>
      </c>
      <c r="J656" t="s">
        <v>12</v>
      </c>
      <c r="K656">
        <f>IF(tbl_ChargingStation[[#This Row],[status]]="Operational",1,0)</f>
        <v>1</v>
      </c>
      <c r="L656">
        <f t="shared" si="20"/>
        <v>1</v>
      </c>
      <c r="M656" t="str">
        <f t="shared" si="21"/>
        <v>Odisha</v>
      </c>
    </row>
    <row r="657" spans="1:13">
      <c r="A657">
        <v>479172</v>
      </c>
      <c r="B657" t="s">
        <v>24</v>
      </c>
      <c r="C657" t="s">
        <v>12</v>
      </c>
      <c r="D657" t="s">
        <v>20</v>
      </c>
      <c r="E657" t="s">
        <v>13</v>
      </c>
      <c r="F657">
        <v>18.279175599999999</v>
      </c>
      <c r="G657">
        <v>83.526138599999996</v>
      </c>
      <c r="H657">
        <v>1</v>
      </c>
      <c r="I657" t="s">
        <v>14</v>
      </c>
      <c r="J657" t="s">
        <v>12</v>
      </c>
      <c r="K657">
        <f>IF(tbl_ChargingStation[[#This Row],[status]]="Operational",1,0)</f>
        <v>1</v>
      </c>
      <c r="L657">
        <f t="shared" si="20"/>
        <v>1</v>
      </c>
      <c r="M657" t="str">
        <f t="shared" si="21"/>
        <v>Odisha</v>
      </c>
    </row>
    <row r="658" spans="1:13">
      <c r="A658">
        <v>479171</v>
      </c>
      <c r="B658" t="s">
        <v>63</v>
      </c>
      <c r="C658" t="s">
        <v>12</v>
      </c>
      <c r="D658" t="s">
        <v>20</v>
      </c>
      <c r="E658" t="s">
        <v>13</v>
      </c>
      <c r="F658">
        <v>18.337203800000001</v>
      </c>
      <c r="G658">
        <v>82.877925500000003</v>
      </c>
      <c r="H658">
        <v>1</v>
      </c>
      <c r="I658" t="s">
        <v>14</v>
      </c>
      <c r="J658" t="s">
        <v>12</v>
      </c>
      <c r="K658">
        <f>IF(tbl_ChargingStation[[#This Row],[status]]="Operational",1,0)</f>
        <v>1</v>
      </c>
      <c r="L658">
        <f t="shared" si="20"/>
        <v>1</v>
      </c>
      <c r="M658" t="str">
        <f t="shared" si="21"/>
        <v>Odisha</v>
      </c>
    </row>
    <row r="659" spans="1:13">
      <c r="A659">
        <v>479170</v>
      </c>
      <c r="B659" t="s">
        <v>24</v>
      </c>
      <c r="C659" t="s">
        <v>12</v>
      </c>
      <c r="D659" t="s">
        <v>20</v>
      </c>
      <c r="E659" t="s">
        <v>13</v>
      </c>
      <c r="F659">
        <v>18.3225938</v>
      </c>
      <c r="G659">
        <v>82.877651799999995</v>
      </c>
      <c r="H659">
        <v>1</v>
      </c>
      <c r="I659" t="s">
        <v>14</v>
      </c>
      <c r="J659" t="s">
        <v>12</v>
      </c>
      <c r="K659">
        <f>IF(tbl_ChargingStation[[#This Row],[status]]="Operational",1,0)</f>
        <v>1</v>
      </c>
      <c r="L659">
        <f t="shared" si="20"/>
        <v>1</v>
      </c>
      <c r="M659" t="str">
        <f t="shared" si="21"/>
        <v>Odisha</v>
      </c>
    </row>
    <row r="660" spans="1:13">
      <c r="A660">
        <v>479169</v>
      </c>
      <c r="B660" t="s">
        <v>64</v>
      </c>
      <c r="C660" t="s">
        <v>12</v>
      </c>
      <c r="D660" t="s">
        <v>20</v>
      </c>
      <c r="E660" t="s">
        <v>13</v>
      </c>
      <c r="F660">
        <v>18.295865200000001</v>
      </c>
      <c r="G660">
        <v>82.914474799999994</v>
      </c>
      <c r="H660">
        <v>1</v>
      </c>
      <c r="I660" t="s">
        <v>14</v>
      </c>
      <c r="J660" t="s">
        <v>12</v>
      </c>
      <c r="K660">
        <f>IF(tbl_ChargingStation[[#This Row],[status]]="Operational",1,0)</f>
        <v>1</v>
      </c>
      <c r="L660">
        <f t="shared" si="20"/>
        <v>1</v>
      </c>
      <c r="M660" t="str">
        <f t="shared" si="21"/>
        <v>Odisha</v>
      </c>
    </row>
    <row r="661" spans="1:13">
      <c r="A661">
        <v>479168</v>
      </c>
      <c r="B661" t="s">
        <v>28</v>
      </c>
      <c r="C661" t="s">
        <v>12</v>
      </c>
      <c r="D661" t="s">
        <v>20</v>
      </c>
      <c r="E661" t="s">
        <v>13</v>
      </c>
      <c r="F661">
        <v>18.313714099999999</v>
      </c>
      <c r="G661">
        <v>82.893742399999994</v>
      </c>
      <c r="H661">
        <v>1</v>
      </c>
      <c r="I661" t="s">
        <v>14</v>
      </c>
      <c r="J661" t="s">
        <v>12</v>
      </c>
      <c r="K661">
        <f>IF(tbl_ChargingStation[[#This Row],[status]]="Operational",1,0)</f>
        <v>1</v>
      </c>
      <c r="L661">
        <f t="shared" si="20"/>
        <v>1</v>
      </c>
      <c r="M661" t="str">
        <f t="shared" si="21"/>
        <v>Odisha</v>
      </c>
    </row>
    <row r="662" spans="1:13">
      <c r="A662">
        <v>479167</v>
      </c>
      <c r="B662" t="s">
        <v>19</v>
      </c>
      <c r="C662" t="s">
        <v>12</v>
      </c>
      <c r="D662" t="s">
        <v>20</v>
      </c>
      <c r="E662" t="s">
        <v>13</v>
      </c>
      <c r="F662">
        <v>18.139519</v>
      </c>
      <c r="G662">
        <v>83.617594999999994</v>
      </c>
      <c r="H662">
        <v>1</v>
      </c>
      <c r="I662" t="s">
        <v>14</v>
      </c>
      <c r="J662" t="s">
        <v>12</v>
      </c>
      <c r="K662">
        <f>IF(tbl_ChargingStation[[#This Row],[status]]="Operational",1,0)</f>
        <v>1</v>
      </c>
      <c r="L662">
        <f t="shared" si="20"/>
        <v>1</v>
      </c>
      <c r="M662" t="str">
        <f t="shared" si="21"/>
        <v>Odisha</v>
      </c>
    </row>
    <row r="663" spans="1:13">
      <c r="A663">
        <v>479166</v>
      </c>
      <c r="B663" t="s">
        <v>32</v>
      </c>
      <c r="C663" t="s">
        <v>12</v>
      </c>
      <c r="D663" t="s">
        <v>20</v>
      </c>
      <c r="E663" t="s">
        <v>13</v>
      </c>
      <c r="F663">
        <v>18.1499177</v>
      </c>
      <c r="G663">
        <v>83.635310599999997</v>
      </c>
      <c r="H663">
        <v>1</v>
      </c>
      <c r="I663" t="s">
        <v>14</v>
      </c>
      <c r="J663" t="s">
        <v>12</v>
      </c>
      <c r="K663">
        <f>IF(tbl_ChargingStation[[#This Row],[status]]="Operational",1,0)</f>
        <v>1</v>
      </c>
      <c r="L663">
        <f t="shared" si="20"/>
        <v>1</v>
      </c>
      <c r="M663" t="str">
        <f t="shared" si="21"/>
        <v>Odisha</v>
      </c>
    </row>
    <row r="664" spans="1:13">
      <c r="A664">
        <v>479165</v>
      </c>
      <c r="B664" t="s">
        <v>19</v>
      </c>
      <c r="C664" t="s">
        <v>12</v>
      </c>
      <c r="D664" t="s">
        <v>20</v>
      </c>
      <c r="E664" t="s">
        <v>13</v>
      </c>
      <c r="F664">
        <v>18.173031999999999</v>
      </c>
      <c r="G664">
        <v>83.676948999999993</v>
      </c>
      <c r="H664">
        <v>1</v>
      </c>
      <c r="I664" t="s">
        <v>14</v>
      </c>
      <c r="J664" t="s">
        <v>12</v>
      </c>
      <c r="K664">
        <f>IF(tbl_ChargingStation[[#This Row],[status]]="Operational",1,0)</f>
        <v>1</v>
      </c>
      <c r="L664">
        <f t="shared" si="20"/>
        <v>1</v>
      </c>
      <c r="M664" t="str">
        <f t="shared" si="21"/>
        <v>Odisha</v>
      </c>
    </row>
    <row r="665" spans="1:13">
      <c r="A665">
        <v>479164</v>
      </c>
      <c r="B665" t="s">
        <v>65</v>
      </c>
      <c r="C665" t="s">
        <v>12</v>
      </c>
      <c r="D665" t="s">
        <v>20</v>
      </c>
      <c r="E665" t="s">
        <v>13</v>
      </c>
      <c r="F665">
        <v>18.0418515</v>
      </c>
      <c r="G665">
        <v>83.509722100000005</v>
      </c>
      <c r="H665">
        <v>1</v>
      </c>
      <c r="I665" t="s">
        <v>14</v>
      </c>
      <c r="J665" t="s">
        <v>12</v>
      </c>
      <c r="K665">
        <f>IF(tbl_ChargingStation[[#This Row],[status]]="Operational",1,0)</f>
        <v>1</v>
      </c>
      <c r="L665">
        <f t="shared" si="20"/>
        <v>1</v>
      </c>
      <c r="M665" t="str">
        <f t="shared" si="21"/>
        <v>Odisha</v>
      </c>
    </row>
    <row r="666" spans="1:13">
      <c r="A666">
        <v>479163</v>
      </c>
      <c r="B666" t="s">
        <v>66</v>
      </c>
      <c r="C666" t="s">
        <v>12</v>
      </c>
      <c r="D666" t="s">
        <v>20</v>
      </c>
      <c r="E666" t="s">
        <v>13</v>
      </c>
      <c r="F666">
        <v>18.020385699999999</v>
      </c>
      <c r="G666">
        <v>83.4020948</v>
      </c>
      <c r="H666">
        <v>1</v>
      </c>
      <c r="I666" t="s">
        <v>14</v>
      </c>
      <c r="J666" t="s">
        <v>12</v>
      </c>
      <c r="K666">
        <f>IF(tbl_ChargingStation[[#This Row],[status]]="Operational",1,0)</f>
        <v>1</v>
      </c>
      <c r="L666">
        <f t="shared" si="20"/>
        <v>1</v>
      </c>
      <c r="M666" t="str">
        <f t="shared" si="21"/>
        <v>Odisha</v>
      </c>
    </row>
    <row r="667" spans="1:13">
      <c r="A667">
        <v>479162</v>
      </c>
      <c r="B667" t="s">
        <v>24</v>
      </c>
      <c r="C667" t="s">
        <v>12</v>
      </c>
      <c r="D667" t="s">
        <v>20</v>
      </c>
      <c r="E667" t="s">
        <v>13</v>
      </c>
      <c r="F667">
        <v>18.056500700000001</v>
      </c>
      <c r="G667">
        <v>83.397112800000002</v>
      </c>
      <c r="H667">
        <v>1</v>
      </c>
      <c r="I667" t="s">
        <v>14</v>
      </c>
      <c r="J667" t="s">
        <v>12</v>
      </c>
      <c r="K667">
        <f>IF(tbl_ChargingStation[[#This Row],[status]]="Operational",1,0)</f>
        <v>1</v>
      </c>
      <c r="L667">
        <f t="shared" si="20"/>
        <v>1</v>
      </c>
      <c r="M667" t="str">
        <f t="shared" si="21"/>
        <v>Odisha</v>
      </c>
    </row>
    <row r="668" spans="1:13">
      <c r="A668">
        <v>479161</v>
      </c>
      <c r="B668" t="s">
        <v>28</v>
      </c>
      <c r="C668" t="s">
        <v>12</v>
      </c>
      <c r="D668" t="s">
        <v>20</v>
      </c>
      <c r="E668" t="s">
        <v>13</v>
      </c>
      <c r="F668">
        <v>18.057097200000001</v>
      </c>
      <c r="G668">
        <v>83.397188099999994</v>
      </c>
      <c r="H668">
        <v>1</v>
      </c>
      <c r="I668" t="s">
        <v>14</v>
      </c>
      <c r="J668" t="s">
        <v>12</v>
      </c>
      <c r="K668">
        <f>IF(tbl_ChargingStation[[#This Row],[status]]="Operational",1,0)</f>
        <v>1</v>
      </c>
      <c r="L668">
        <f t="shared" si="20"/>
        <v>1</v>
      </c>
      <c r="M668" t="str">
        <f t="shared" si="21"/>
        <v>Odisha</v>
      </c>
    </row>
    <row r="669" spans="1:13">
      <c r="A669">
        <v>479160</v>
      </c>
      <c r="B669" t="s">
        <v>67</v>
      </c>
      <c r="C669" t="s">
        <v>12</v>
      </c>
      <c r="D669" t="s">
        <v>20</v>
      </c>
      <c r="E669" t="s">
        <v>13</v>
      </c>
      <c r="F669">
        <v>18.092801600000001</v>
      </c>
      <c r="G669">
        <v>83.388404699999995</v>
      </c>
      <c r="H669">
        <v>1</v>
      </c>
      <c r="I669" t="s">
        <v>14</v>
      </c>
      <c r="J669" t="s">
        <v>12</v>
      </c>
      <c r="K669">
        <f>IF(tbl_ChargingStation[[#This Row],[status]]="Operational",1,0)</f>
        <v>1</v>
      </c>
      <c r="L669">
        <f t="shared" si="20"/>
        <v>1</v>
      </c>
      <c r="M669" t="str">
        <f t="shared" si="21"/>
        <v>Odisha</v>
      </c>
    </row>
    <row r="670" spans="1:13">
      <c r="A670">
        <v>479159</v>
      </c>
      <c r="B670" t="s">
        <v>24</v>
      </c>
      <c r="C670" t="s">
        <v>12</v>
      </c>
      <c r="D670" t="s">
        <v>20</v>
      </c>
      <c r="E670" t="s">
        <v>13</v>
      </c>
      <c r="F670">
        <v>18.080786</v>
      </c>
      <c r="G670">
        <v>83.385279999999995</v>
      </c>
      <c r="H670">
        <v>1</v>
      </c>
      <c r="I670" t="s">
        <v>14</v>
      </c>
      <c r="J670" t="s">
        <v>12</v>
      </c>
      <c r="K670">
        <f>IF(tbl_ChargingStation[[#This Row],[status]]="Operational",1,0)</f>
        <v>1</v>
      </c>
      <c r="L670">
        <f t="shared" si="20"/>
        <v>1</v>
      </c>
      <c r="M670" t="str">
        <f t="shared" si="21"/>
        <v>Odisha</v>
      </c>
    </row>
    <row r="671" spans="1:13">
      <c r="A671">
        <v>479158</v>
      </c>
      <c r="B671" t="s">
        <v>21</v>
      </c>
      <c r="C671" t="s">
        <v>12</v>
      </c>
      <c r="D671" t="s">
        <v>20</v>
      </c>
      <c r="E671" t="s">
        <v>13</v>
      </c>
      <c r="F671">
        <v>17.9524227</v>
      </c>
      <c r="G671">
        <v>83.416358099999997</v>
      </c>
      <c r="H671">
        <v>1</v>
      </c>
      <c r="I671" t="s">
        <v>14</v>
      </c>
      <c r="J671" t="s">
        <v>12</v>
      </c>
      <c r="K671">
        <f>IF(tbl_ChargingStation[[#This Row],[status]]="Operational",1,0)</f>
        <v>1</v>
      </c>
      <c r="L671">
        <f t="shared" si="20"/>
        <v>1</v>
      </c>
      <c r="M671" t="str">
        <f t="shared" si="21"/>
        <v>Odisha</v>
      </c>
    </row>
    <row r="672" spans="1:13">
      <c r="A672">
        <v>479157</v>
      </c>
      <c r="B672" t="s">
        <v>24</v>
      </c>
      <c r="C672" t="s">
        <v>12</v>
      </c>
      <c r="D672" t="s">
        <v>20</v>
      </c>
      <c r="E672" t="s">
        <v>13</v>
      </c>
      <c r="F672">
        <v>18.080143799999998</v>
      </c>
      <c r="G672">
        <v>83.385350900000006</v>
      </c>
      <c r="H672">
        <v>1</v>
      </c>
      <c r="I672" t="s">
        <v>14</v>
      </c>
      <c r="J672" t="s">
        <v>12</v>
      </c>
      <c r="K672">
        <f>IF(tbl_ChargingStation[[#This Row],[status]]="Operational",1,0)</f>
        <v>1</v>
      </c>
      <c r="L672">
        <f t="shared" si="20"/>
        <v>1</v>
      </c>
      <c r="M672" t="str">
        <f t="shared" si="21"/>
        <v>Odisha</v>
      </c>
    </row>
    <row r="673" spans="1:13">
      <c r="A673">
        <v>479156</v>
      </c>
      <c r="B673" t="s">
        <v>22</v>
      </c>
      <c r="C673" t="s">
        <v>12</v>
      </c>
      <c r="D673" t="s">
        <v>20</v>
      </c>
      <c r="E673" t="s">
        <v>13</v>
      </c>
      <c r="F673">
        <v>17.952421000000001</v>
      </c>
      <c r="G673">
        <v>83.416310999999993</v>
      </c>
      <c r="H673">
        <v>1</v>
      </c>
      <c r="I673" t="s">
        <v>14</v>
      </c>
      <c r="J673" t="s">
        <v>12</v>
      </c>
      <c r="K673">
        <f>IF(tbl_ChargingStation[[#This Row],[status]]="Operational",1,0)</f>
        <v>1</v>
      </c>
      <c r="L673">
        <f t="shared" si="20"/>
        <v>1</v>
      </c>
      <c r="M673" t="str">
        <f t="shared" si="21"/>
        <v>Odisha</v>
      </c>
    </row>
    <row r="674" spans="1:13">
      <c r="A674">
        <v>479155</v>
      </c>
      <c r="B674" t="s">
        <v>19</v>
      </c>
      <c r="C674" t="s">
        <v>12</v>
      </c>
      <c r="D674" t="s">
        <v>20</v>
      </c>
      <c r="E674" t="s">
        <v>13</v>
      </c>
      <c r="F674">
        <v>17.957767700000002</v>
      </c>
      <c r="G674">
        <v>83.177360399999998</v>
      </c>
      <c r="H674">
        <v>1</v>
      </c>
      <c r="I674" t="s">
        <v>14</v>
      </c>
      <c r="J674" t="s">
        <v>12</v>
      </c>
      <c r="K674">
        <f>IF(tbl_ChargingStation[[#This Row],[status]]="Operational",1,0)</f>
        <v>1</v>
      </c>
      <c r="L674">
        <f t="shared" si="20"/>
        <v>1</v>
      </c>
      <c r="M674" t="str">
        <f t="shared" si="21"/>
        <v>Odisha</v>
      </c>
    </row>
    <row r="675" spans="1:13">
      <c r="A675">
        <v>479154</v>
      </c>
      <c r="B675" t="s">
        <v>24</v>
      </c>
      <c r="C675" t="s">
        <v>12</v>
      </c>
      <c r="D675" t="s">
        <v>20</v>
      </c>
      <c r="E675" t="s">
        <v>13</v>
      </c>
      <c r="F675">
        <v>18.116682000000001</v>
      </c>
      <c r="G675">
        <v>83.137720000000002</v>
      </c>
      <c r="H675">
        <v>1</v>
      </c>
      <c r="I675" t="s">
        <v>14</v>
      </c>
      <c r="J675" t="s">
        <v>12</v>
      </c>
      <c r="K675">
        <f>IF(tbl_ChargingStation[[#This Row],[status]]="Operational",1,0)</f>
        <v>1</v>
      </c>
      <c r="L675">
        <f t="shared" si="20"/>
        <v>1</v>
      </c>
      <c r="M675" t="str">
        <f t="shared" si="21"/>
        <v>Odisha</v>
      </c>
    </row>
    <row r="676" spans="1:13">
      <c r="A676">
        <v>479153</v>
      </c>
      <c r="B676" t="s">
        <v>19</v>
      </c>
      <c r="C676" t="s">
        <v>12</v>
      </c>
      <c r="D676" t="s">
        <v>20</v>
      </c>
      <c r="E676" t="s">
        <v>13</v>
      </c>
      <c r="F676">
        <v>17.957767700000002</v>
      </c>
      <c r="G676">
        <v>83.177360399999998</v>
      </c>
      <c r="H676">
        <v>1</v>
      </c>
      <c r="I676" t="s">
        <v>14</v>
      </c>
      <c r="J676" t="s">
        <v>12</v>
      </c>
      <c r="K676">
        <f>IF(tbl_ChargingStation[[#This Row],[status]]="Operational",1,0)</f>
        <v>1</v>
      </c>
      <c r="L676">
        <f t="shared" si="20"/>
        <v>1</v>
      </c>
      <c r="M676" t="str">
        <f t="shared" si="21"/>
        <v>Odisha</v>
      </c>
    </row>
    <row r="677" spans="1:13">
      <c r="A677">
        <v>479152</v>
      </c>
      <c r="B677" t="s">
        <v>24</v>
      </c>
      <c r="C677" t="s">
        <v>12</v>
      </c>
      <c r="D677" t="s">
        <v>20</v>
      </c>
      <c r="E677" t="s">
        <v>13</v>
      </c>
      <c r="F677">
        <v>18.116682000000001</v>
      </c>
      <c r="G677">
        <v>83.137720000000002</v>
      </c>
      <c r="H677">
        <v>1</v>
      </c>
      <c r="I677" t="s">
        <v>14</v>
      </c>
      <c r="J677" t="s">
        <v>12</v>
      </c>
      <c r="K677">
        <f>IF(tbl_ChargingStation[[#This Row],[status]]="Operational",1,0)</f>
        <v>1</v>
      </c>
      <c r="L677">
        <f t="shared" si="20"/>
        <v>1</v>
      </c>
      <c r="M677" t="str">
        <f t="shared" si="21"/>
        <v>Odisha</v>
      </c>
    </row>
    <row r="678" spans="1:13">
      <c r="A678">
        <v>479145</v>
      </c>
      <c r="B678" t="s">
        <v>29</v>
      </c>
      <c r="C678" t="s">
        <v>12</v>
      </c>
      <c r="D678" t="s">
        <v>20</v>
      </c>
      <c r="E678" t="s">
        <v>13</v>
      </c>
      <c r="F678">
        <v>19.995597</v>
      </c>
      <c r="G678">
        <v>85.479968</v>
      </c>
      <c r="H678">
        <v>1</v>
      </c>
      <c r="I678" t="s">
        <v>14</v>
      </c>
      <c r="J678" t="s">
        <v>12</v>
      </c>
      <c r="K678">
        <f>IF(tbl_ChargingStation[[#This Row],[status]]="Operational",1,0)</f>
        <v>1</v>
      </c>
      <c r="L678">
        <f t="shared" si="20"/>
        <v>1</v>
      </c>
      <c r="M678" t="str">
        <f t="shared" si="21"/>
        <v>Odisha</v>
      </c>
    </row>
    <row r="679" spans="1:13">
      <c r="A679">
        <v>479144</v>
      </c>
      <c r="B679" t="s">
        <v>22</v>
      </c>
      <c r="C679" t="s">
        <v>12</v>
      </c>
      <c r="D679" t="s">
        <v>20</v>
      </c>
      <c r="E679" t="s">
        <v>13</v>
      </c>
      <c r="F679">
        <v>19.990167199999998</v>
      </c>
      <c r="G679">
        <v>85.473652700000002</v>
      </c>
      <c r="H679">
        <v>1</v>
      </c>
      <c r="I679" t="s">
        <v>14</v>
      </c>
      <c r="J679" t="s">
        <v>12</v>
      </c>
      <c r="K679">
        <f>IF(tbl_ChargingStation[[#This Row],[status]]="Operational",1,0)</f>
        <v>1</v>
      </c>
      <c r="L679">
        <f t="shared" si="20"/>
        <v>1</v>
      </c>
      <c r="M679" t="str">
        <f t="shared" si="21"/>
        <v>Odisha</v>
      </c>
    </row>
    <row r="680" spans="1:13">
      <c r="A680">
        <v>479143</v>
      </c>
      <c r="B680" t="s">
        <v>24</v>
      </c>
      <c r="C680" t="s">
        <v>12</v>
      </c>
      <c r="D680" t="s">
        <v>20</v>
      </c>
      <c r="E680" t="s">
        <v>13</v>
      </c>
      <c r="F680">
        <v>19.924364000000001</v>
      </c>
      <c r="G680">
        <v>84.571349999999995</v>
      </c>
      <c r="H680">
        <v>1</v>
      </c>
      <c r="I680" t="s">
        <v>14</v>
      </c>
      <c r="J680" t="s">
        <v>12</v>
      </c>
      <c r="K680">
        <f>IF(tbl_ChargingStation[[#This Row],[status]]="Operational",1,0)</f>
        <v>1</v>
      </c>
      <c r="L680">
        <f t="shared" si="20"/>
        <v>1</v>
      </c>
      <c r="M680" t="str">
        <f t="shared" si="21"/>
        <v>Odisha</v>
      </c>
    </row>
    <row r="681" spans="1:13">
      <c r="A681">
        <v>479142</v>
      </c>
      <c r="B681" t="s">
        <v>23</v>
      </c>
      <c r="C681" t="s">
        <v>12</v>
      </c>
      <c r="D681" t="s">
        <v>20</v>
      </c>
      <c r="E681" t="s">
        <v>13</v>
      </c>
      <c r="F681">
        <v>20.038906999999998</v>
      </c>
      <c r="G681">
        <v>84.638569000000004</v>
      </c>
      <c r="H681">
        <v>1</v>
      </c>
      <c r="I681" t="s">
        <v>14</v>
      </c>
      <c r="J681" t="s">
        <v>12</v>
      </c>
      <c r="K681">
        <f>IF(tbl_ChargingStation[[#This Row],[status]]="Operational",1,0)</f>
        <v>1</v>
      </c>
      <c r="L681">
        <f t="shared" si="20"/>
        <v>1</v>
      </c>
      <c r="M681" t="str">
        <f t="shared" si="21"/>
        <v>Odisha</v>
      </c>
    </row>
    <row r="682" spans="1:13">
      <c r="A682">
        <v>479141</v>
      </c>
      <c r="B682" t="s">
        <v>19</v>
      </c>
      <c r="C682" t="s">
        <v>12</v>
      </c>
      <c r="D682" t="s">
        <v>20</v>
      </c>
      <c r="E682" t="s">
        <v>13</v>
      </c>
      <c r="F682">
        <v>19.924914999999999</v>
      </c>
      <c r="G682">
        <v>83.174075000000002</v>
      </c>
      <c r="H682">
        <v>1</v>
      </c>
      <c r="I682" t="s">
        <v>14</v>
      </c>
      <c r="J682" t="s">
        <v>12</v>
      </c>
      <c r="K682">
        <f>IF(tbl_ChargingStation[[#This Row],[status]]="Operational",1,0)</f>
        <v>1</v>
      </c>
      <c r="L682">
        <f t="shared" si="20"/>
        <v>1</v>
      </c>
      <c r="M682" t="str">
        <f t="shared" si="21"/>
        <v>Odisha</v>
      </c>
    </row>
    <row r="683" spans="1:13">
      <c r="A683">
        <v>479139</v>
      </c>
      <c r="B683" t="s">
        <v>53</v>
      </c>
      <c r="C683" t="s">
        <v>12</v>
      </c>
      <c r="D683" t="s">
        <v>20</v>
      </c>
      <c r="E683" t="s">
        <v>13</v>
      </c>
      <c r="F683">
        <v>19.813480800000001</v>
      </c>
      <c r="G683">
        <v>85.836299699999998</v>
      </c>
      <c r="H683">
        <v>1</v>
      </c>
      <c r="I683" t="s">
        <v>14</v>
      </c>
      <c r="J683" t="s">
        <v>12</v>
      </c>
      <c r="K683">
        <f>IF(tbl_ChargingStation[[#This Row],[status]]="Operational",1,0)</f>
        <v>1</v>
      </c>
      <c r="L683">
        <f t="shared" si="20"/>
        <v>1</v>
      </c>
      <c r="M683" t="str">
        <f t="shared" si="21"/>
        <v>Odisha</v>
      </c>
    </row>
    <row r="684" spans="1:13">
      <c r="A684">
        <v>479138</v>
      </c>
      <c r="B684" t="s">
        <v>24</v>
      </c>
      <c r="C684" t="s">
        <v>12</v>
      </c>
      <c r="D684" t="s">
        <v>20</v>
      </c>
      <c r="E684" t="s">
        <v>13</v>
      </c>
      <c r="F684">
        <v>19.7952607</v>
      </c>
      <c r="G684">
        <v>85.813280899999995</v>
      </c>
      <c r="H684">
        <v>1</v>
      </c>
      <c r="I684" t="s">
        <v>14</v>
      </c>
      <c r="J684" t="s">
        <v>12</v>
      </c>
      <c r="K684">
        <f>IF(tbl_ChargingStation[[#This Row],[status]]="Operational",1,0)</f>
        <v>1</v>
      </c>
      <c r="L684">
        <f t="shared" si="20"/>
        <v>1</v>
      </c>
      <c r="M684" t="str">
        <f t="shared" si="21"/>
        <v>Odisha</v>
      </c>
    </row>
    <row r="685" spans="1:13">
      <c r="A685">
        <v>479137</v>
      </c>
      <c r="B685" t="s">
        <v>54</v>
      </c>
      <c r="C685" t="s">
        <v>12</v>
      </c>
      <c r="D685" t="s">
        <v>20</v>
      </c>
      <c r="E685" t="s">
        <v>13</v>
      </c>
      <c r="F685">
        <v>19.802419700000002</v>
      </c>
      <c r="G685">
        <v>85.823939899999999</v>
      </c>
      <c r="H685">
        <v>1</v>
      </c>
      <c r="I685" t="s">
        <v>14</v>
      </c>
      <c r="J685" t="s">
        <v>12</v>
      </c>
      <c r="K685">
        <f>IF(tbl_ChargingStation[[#This Row],[status]]="Operational",1,0)</f>
        <v>1</v>
      </c>
      <c r="L685">
        <f t="shared" si="20"/>
        <v>1</v>
      </c>
      <c r="M685" t="str">
        <f t="shared" si="21"/>
        <v>Odisha</v>
      </c>
    </row>
    <row r="686" spans="1:13">
      <c r="A686">
        <v>479136</v>
      </c>
      <c r="B686" t="s">
        <v>55</v>
      </c>
      <c r="C686" t="s">
        <v>12</v>
      </c>
      <c r="D686" t="s">
        <v>20</v>
      </c>
      <c r="E686" t="s">
        <v>13</v>
      </c>
      <c r="F686">
        <v>19.790746200000001</v>
      </c>
      <c r="G686">
        <v>85.803086800000003</v>
      </c>
      <c r="H686">
        <v>1</v>
      </c>
      <c r="I686" t="s">
        <v>14</v>
      </c>
      <c r="J686" t="s">
        <v>12</v>
      </c>
      <c r="K686">
        <f>IF(tbl_ChargingStation[[#This Row],[status]]="Operational",1,0)</f>
        <v>1</v>
      </c>
      <c r="L686">
        <f t="shared" si="20"/>
        <v>1</v>
      </c>
      <c r="M686" t="str">
        <f t="shared" si="21"/>
        <v>Odisha</v>
      </c>
    </row>
    <row r="687" spans="1:13">
      <c r="A687">
        <v>479135</v>
      </c>
      <c r="B687" t="s">
        <v>28</v>
      </c>
      <c r="C687" t="s">
        <v>12</v>
      </c>
      <c r="D687" t="s">
        <v>20</v>
      </c>
      <c r="E687" t="s">
        <v>13</v>
      </c>
      <c r="F687">
        <v>19.718938000000001</v>
      </c>
      <c r="G687">
        <v>85.5235713</v>
      </c>
      <c r="H687">
        <v>1</v>
      </c>
      <c r="I687" t="s">
        <v>14</v>
      </c>
      <c r="J687" t="s">
        <v>12</v>
      </c>
      <c r="K687">
        <f>IF(tbl_ChargingStation[[#This Row],[status]]="Operational",1,0)</f>
        <v>1</v>
      </c>
      <c r="L687">
        <f t="shared" si="20"/>
        <v>1</v>
      </c>
      <c r="M687" t="str">
        <f t="shared" si="21"/>
        <v>Odisha</v>
      </c>
    </row>
    <row r="688" spans="1:13">
      <c r="A688">
        <v>479134</v>
      </c>
      <c r="B688" t="s">
        <v>24</v>
      </c>
      <c r="C688" t="s">
        <v>12</v>
      </c>
      <c r="D688" t="s">
        <v>20</v>
      </c>
      <c r="E688" t="s">
        <v>13</v>
      </c>
      <c r="F688">
        <v>19.799157999999998</v>
      </c>
      <c r="G688">
        <v>85.664565999999994</v>
      </c>
      <c r="H688">
        <v>1</v>
      </c>
      <c r="I688" t="s">
        <v>14</v>
      </c>
      <c r="J688" t="s">
        <v>12</v>
      </c>
      <c r="K688">
        <f>IF(tbl_ChargingStation[[#This Row],[status]]="Operational",1,0)</f>
        <v>1</v>
      </c>
      <c r="L688">
        <f t="shared" si="20"/>
        <v>1</v>
      </c>
      <c r="M688" t="str">
        <f t="shared" si="21"/>
        <v>Odisha</v>
      </c>
    </row>
    <row r="689" spans="1:13">
      <c r="A689">
        <v>479133</v>
      </c>
      <c r="B689" t="s">
        <v>24</v>
      </c>
      <c r="C689" t="s">
        <v>12</v>
      </c>
      <c r="D689" t="s">
        <v>20</v>
      </c>
      <c r="E689" t="s">
        <v>13</v>
      </c>
      <c r="F689">
        <v>19.719349999999999</v>
      </c>
      <c r="G689">
        <v>85.524486800000005</v>
      </c>
      <c r="H689">
        <v>1</v>
      </c>
      <c r="I689" t="s">
        <v>14</v>
      </c>
      <c r="J689" t="s">
        <v>12</v>
      </c>
      <c r="K689">
        <f>IF(tbl_ChargingStation[[#This Row],[status]]="Operational",1,0)</f>
        <v>1</v>
      </c>
      <c r="L689">
        <f t="shared" si="20"/>
        <v>1</v>
      </c>
      <c r="M689" t="str">
        <f t="shared" si="21"/>
        <v>Odisha</v>
      </c>
    </row>
    <row r="690" spans="1:13">
      <c r="A690">
        <v>479132</v>
      </c>
      <c r="B690" t="s">
        <v>32</v>
      </c>
      <c r="C690" t="s">
        <v>12</v>
      </c>
      <c r="D690" t="s">
        <v>20</v>
      </c>
      <c r="E690" t="s">
        <v>13</v>
      </c>
      <c r="F690">
        <v>19.678550000000001</v>
      </c>
      <c r="G690">
        <v>85.171408999999997</v>
      </c>
      <c r="H690">
        <v>1</v>
      </c>
      <c r="I690" t="s">
        <v>14</v>
      </c>
      <c r="J690" t="s">
        <v>12</v>
      </c>
      <c r="K690">
        <f>IF(tbl_ChargingStation[[#This Row],[status]]="Operational",1,0)</f>
        <v>1</v>
      </c>
      <c r="L690">
        <f t="shared" si="20"/>
        <v>1</v>
      </c>
      <c r="M690" t="str">
        <f t="shared" si="21"/>
        <v>Odisha</v>
      </c>
    </row>
    <row r="691" spans="1:13">
      <c r="A691">
        <v>479131</v>
      </c>
      <c r="B691" t="s">
        <v>19</v>
      </c>
      <c r="C691" t="s">
        <v>12</v>
      </c>
      <c r="D691" t="s">
        <v>20</v>
      </c>
      <c r="E691" t="s">
        <v>13</v>
      </c>
      <c r="F691">
        <v>19.6782474</v>
      </c>
      <c r="G691">
        <v>85.1714786</v>
      </c>
      <c r="H691">
        <v>1</v>
      </c>
      <c r="I691" t="s">
        <v>14</v>
      </c>
      <c r="J691" t="s">
        <v>12</v>
      </c>
      <c r="K691">
        <f>IF(tbl_ChargingStation[[#This Row],[status]]="Operational",1,0)</f>
        <v>1</v>
      </c>
      <c r="L691">
        <f t="shared" si="20"/>
        <v>1</v>
      </c>
      <c r="M691" t="str">
        <f t="shared" si="21"/>
        <v>Odisha</v>
      </c>
    </row>
    <row r="692" spans="1:13">
      <c r="A692">
        <v>479130</v>
      </c>
      <c r="B692" t="s">
        <v>34</v>
      </c>
      <c r="C692" t="s">
        <v>12</v>
      </c>
      <c r="D692" t="s">
        <v>20</v>
      </c>
      <c r="E692" t="s">
        <v>13</v>
      </c>
      <c r="F692">
        <v>19.633155500000001</v>
      </c>
      <c r="G692">
        <v>85.135326300000003</v>
      </c>
      <c r="H692">
        <v>1</v>
      </c>
      <c r="I692" t="s">
        <v>14</v>
      </c>
      <c r="J692" t="s">
        <v>12</v>
      </c>
      <c r="K692">
        <f>IF(tbl_ChargingStation[[#This Row],[status]]="Operational",1,0)</f>
        <v>1</v>
      </c>
      <c r="L692">
        <f t="shared" si="20"/>
        <v>1</v>
      </c>
      <c r="M692" t="str">
        <f t="shared" si="21"/>
        <v>Odisha</v>
      </c>
    </row>
    <row r="693" spans="1:13">
      <c r="A693">
        <v>479128</v>
      </c>
      <c r="B693" t="s">
        <v>23</v>
      </c>
      <c r="C693" t="s">
        <v>12</v>
      </c>
      <c r="D693" t="s">
        <v>20</v>
      </c>
      <c r="E693" t="s">
        <v>13</v>
      </c>
      <c r="F693">
        <v>19.731375</v>
      </c>
      <c r="G693">
        <v>83.479140999999998</v>
      </c>
      <c r="H693">
        <v>1</v>
      </c>
      <c r="I693" t="s">
        <v>14</v>
      </c>
      <c r="J693" t="s">
        <v>12</v>
      </c>
      <c r="K693">
        <f>IF(tbl_ChargingStation[[#This Row],[status]]="Operational",1,0)</f>
        <v>1</v>
      </c>
      <c r="L693">
        <f t="shared" si="20"/>
        <v>1</v>
      </c>
      <c r="M693" t="str">
        <f t="shared" si="21"/>
        <v>Odisha</v>
      </c>
    </row>
    <row r="694" spans="1:13">
      <c r="A694">
        <v>479127</v>
      </c>
      <c r="B694" t="s">
        <v>19</v>
      </c>
      <c r="C694" t="s">
        <v>12</v>
      </c>
      <c r="D694" t="s">
        <v>20</v>
      </c>
      <c r="E694" t="s">
        <v>13</v>
      </c>
      <c r="F694">
        <v>19.652453000000001</v>
      </c>
      <c r="G694">
        <v>82.225618999999995</v>
      </c>
      <c r="H694">
        <v>1</v>
      </c>
      <c r="I694" t="s">
        <v>14</v>
      </c>
      <c r="J694" t="s">
        <v>12</v>
      </c>
      <c r="K694">
        <f>IF(tbl_ChargingStation[[#This Row],[status]]="Operational",1,0)</f>
        <v>1</v>
      </c>
      <c r="L694">
        <f t="shared" si="20"/>
        <v>1</v>
      </c>
      <c r="M694" t="str">
        <f t="shared" si="21"/>
        <v>Odisha</v>
      </c>
    </row>
    <row r="695" spans="1:13">
      <c r="A695">
        <v>479126</v>
      </c>
      <c r="B695" t="s">
        <v>24</v>
      </c>
      <c r="C695" t="s">
        <v>12</v>
      </c>
      <c r="D695" t="s">
        <v>20</v>
      </c>
      <c r="E695" t="s">
        <v>13</v>
      </c>
      <c r="F695">
        <v>19.311509999999998</v>
      </c>
      <c r="G695">
        <v>84.833539999999999</v>
      </c>
      <c r="H695">
        <v>1</v>
      </c>
      <c r="I695" t="s">
        <v>14</v>
      </c>
      <c r="J695" t="s">
        <v>12</v>
      </c>
      <c r="K695">
        <f>IF(tbl_ChargingStation[[#This Row],[status]]="Operational",1,0)</f>
        <v>1</v>
      </c>
      <c r="L695">
        <f t="shared" si="20"/>
        <v>1</v>
      </c>
      <c r="M695" t="str">
        <f t="shared" si="21"/>
        <v>Odisha</v>
      </c>
    </row>
    <row r="696" spans="1:13">
      <c r="A696">
        <v>479125</v>
      </c>
      <c r="B696" t="s">
        <v>24</v>
      </c>
      <c r="C696" t="s">
        <v>12</v>
      </c>
      <c r="D696" t="s">
        <v>20</v>
      </c>
      <c r="E696" t="s">
        <v>13</v>
      </c>
      <c r="F696">
        <v>19.341229999999999</v>
      </c>
      <c r="G696">
        <v>84.768450000000001</v>
      </c>
      <c r="H696">
        <v>1</v>
      </c>
      <c r="I696" t="s">
        <v>14</v>
      </c>
      <c r="J696" t="s">
        <v>12</v>
      </c>
      <c r="K696">
        <f>IF(tbl_ChargingStation[[#This Row],[status]]="Operational",1,0)</f>
        <v>1</v>
      </c>
      <c r="L696">
        <f t="shared" si="20"/>
        <v>1</v>
      </c>
      <c r="M696" t="str">
        <f t="shared" si="21"/>
        <v>Odisha</v>
      </c>
    </row>
    <row r="697" spans="1:13">
      <c r="A697">
        <v>479124</v>
      </c>
      <c r="B697" t="s">
        <v>24</v>
      </c>
      <c r="C697" t="s">
        <v>12</v>
      </c>
      <c r="D697" t="s">
        <v>20</v>
      </c>
      <c r="E697" t="s">
        <v>13</v>
      </c>
      <c r="F697">
        <v>19.324255000000001</v>
      </c>
      <c r="G697">
        <v>84.875029999999995</v>
      </c>
      <c r="H697">
        <v>1</v>
      </c>
      <c r="I697" t="s">
        <v>14</v>
      </c>
      <c r="J697" t="s">
        <v>12</v>
      </c>
      <c r="K697">
        <f>IF(tbl_ChargingStation[[#This Row],[status]]="Operational",1,0)</f>
        <v>1</v>
      </c>
      <c r="L697">
        <f t="shared" si="20"/>
        <v>1</v>
      </c>
      <c r="M697" t="str">
        <f t="shared" si="21"/>
        <v>Odisha</v>
      </c>
    </row>
    <row r="698" spans="1:13">
      <c r="A698">
        <v>479123</v>
      </c>
      <c r="B698" t="s">
        <v>28</v>
      </c>
      <c r="C698" t="s">
        <v>12</v>
      </c>
      <c r="D698" t="s">
        <v>20</v>
      </c>
      <c r="E698" t="s">
        <v>13</v>
      </c>
      <c r="F698">
        <v>19.317171699999999</v>
      </c>
      <c r="G698">
        <v>84.777247399999993</v>
      </c>
      <c r="H698">
        <v>1</v>
      </c>
      <c r="I698" t="s">
        <v>14</v>
      </c>
      <c r="J698" t="s">
        <v>12</v>
      </c>
      <c r="K698">
        <f>IF(tbl_ChargingStation[[#This Row],[status]]="Operational",1,0)</f>
        <v>1</v>
      </c>
      <c r="L698">
        <f t="shared" si="20"/>
        <v>1</v>
      </c>
      <c r="M698" t="str">
        <f t="shared" si="21"/>
        <v>Odisha</v>
      </c>
    </row>
    <row r="699" spans="1:13">
      <c r="A699">
        <v>479122</v>
      </c>
      <c r="B699" t="s">
        <v>28</v>
      </c>
      <c r="C699" t="s">
        <v>12</v>
      </c>
      <c r="D699" t="s">
        <v>20</v>
      </c>
      <c r="E699" t="s">
        <v>13</v>
      </c>
      <c r="F699">
        <v>19.307138599999998</v>
      </c>
      <c r="G699">
        <v>84.829227700000004</v>
      </c>
      <c r="H699">
        <v>1</v>
      </c>
      <c r="I699" t="s">
        <v>14</v>
      </c>
      <c r="J699" t="s">
        <v>12</v>
      </c>
      <c r="K699">
        <f>IF(tbl_ChargingStation[[#This Row],[status]]="Operational",1,0)</f>
        <v>1</v>
      </c>
      <c r="L699">
        <f t="shared" si="20"/>
        <v>1</v>
      </c>
      <c r="M699" t="str">
        <f t="shared" si="21"/>
        <v>Odisha</v>
      </c>
    </row>
    <row r="700" spans="1:13">
      <c r="A700">
        <v>479121</v>
      </c>
      <c r="B700" t="s">
        <v>28</v>
      </c>
      <c r="C700" t="s">
        <v>12</v>
      </c>
      <c r="D700" t="s">
        <v>20</v>
      </c>
      <c r="E700" t="s">
        <v>13</v>
      </c>
      <c r="F700">
        <v>19.3194175</v>
      </c>
      <c r="G700">
        <v>84.784486299999998</v>
      </c>
      <c r="H700">
        <v>1</v>
      </c>
      <c r="I700" t="s">
        <v>14</v>
      </c>
      <c r="J700" t="s">
        <v>12</v>
      </c>
      <c r="K700">
        <f>IF(tbl_ChargingStation[[#This Row],[status]]="Operational",1,0)</f>
        <v>1</v>
      </c>
      <c r="L700">
        <f t="shared" si="20"/>
        <v>1</v>
      </c>
      <c r="M700" t="str">
        <f t="shared" si="21"/>
        <v>Odisha</v>
      </c>
    </row>
    <row r="701" spans="1:13">
      <c r="A701">
        <v>479120</v>
      </c>
      <c r="B701" t="s">
        <v>24</v>
      </c>
      <c r="C701" t="s">
        <v>12</v>
      </c>
      <c r="D701" t="s">
        <v>20</v>
      </c>
      <c r="E701" t="s">
        <v>13</v>
      </c>
      <c r="F701">
        <v>19.308461999999999</v>
      </c>
      <c r="G701">
        <v>84.77319</v>
      </c>
      <c r="H701">
        <v>1</v>
      </c>
      <c r="I701" t="s">
        <v>14</v>
      </c>
      <c r="J701" t="s">
        <v>12</v>
      </c>
      <c r="K701">
        <f>IF(tbl_ChargingStation[[#This Row],[status]]="Operational",1,0)</f>
        <v>1</v>
      </c>
      <c r="L701">
        <f t="shared" si="20"/>
        <v>1</v>
      </c>
      <c r="M701" t="str">
        <f t="shared" si="21"/>
        <v>Odisha</v>
      </c>
    </row>
    <row r="702" spans="1:13">
      <c r="A702">
        <v>479119</v>
      </c>
      <c r="B702" t="s">
        <v>24</v>
      </c>
      <c r="C702" t="s">
        <v>12</v>
      </c>
      <c r="D702" t="s">
        <v>20</v>
      </c>
      <c r="E702" t="s">
        <v>13</v>
      </c>
      <c r="F702">
        <v>19.301504000000001</v>
      </c>
      <c r="G702">
        <v>84.830129999999997</v>
      </c>
      <c r="H702">
        <v>1</v>
      </c>
      <c r="I702" t="s">
        <v>14</v>
      </c>
      <c r="J702" t="s">
        <v>12</v>
      </c>
      <c r="K702">
        <f>IF(tbl_ChargingStation[[#This Row],[status]]="Operational",1,0)</f>
        <v>1</v>
      </c>
      <c r="L702">
        <f t="shared" si="20"/>
        <v>1</v>
      </c>
      <c r="M702" t="str">
        <f t="shared" si="21"/>
        <v>Odisha</v>
      </c>
    </row>
    <row r="703" spans="1:13">
      <c r="A703">
        <v>479118</v>
      </c>
      <c r="B703" t="s">
        <v>24</v>
      </c>
      <c r="C703" t="s">
        <v>12</v>
      </c>
      <c r="D703" t="s">
        <v>20</v>
      </c>
      <c r="E703" t="s">
        <v>13</v>
      </c>
      <c r="F703">
        <v>19.306038000000001</v>
      </c>
      <c r="G703">
        <v>84.781729999999996</v>
      </c>
      <c r="H703">
        <v>1</v>
      </c>
      <c r="I703" t="s">
        <v>41</v>
      </c>
      <c r="J703" t="s">
        <v>12</v>
      </c>
      <c r="K703">
        <f>IF(tbl_ChargingStation[[#This Row],[status]]="Operational",1,0)</f>
        <v>0</v>
      </c>
      <c r="L703">
        <f t="shared" si="20"/>
        <v>0</v>
      </c>
      <c r="M703" t="str">
        <f t="shared" si="21"/>
        <v>Odisha</v>
      </c>
    </row>
    <row r="704" spans="1:13">
      <c r="A704">
        <v>479116</v>
      </c>
      <c r="B704" t="s">
        <v>24</v>
      </c>
      <c r="C704" t="s">
        <v>12</v>
      </c>
      <c r="D704" t="s">
        <v>20</v>
      </c>
      <c r="E704" t="s">
        <v>13</v>
      </c>
      <c r="F704">
        <v>19.316079999999999</v>
      </c>
      <c r="G704">
        <v>84.852779999999996</v>
      </c>
      <c r="H704">
        <v>1</v>
      </c>
      <c r="I704" t="s">
        <v>14</v>
      </c>
      <c r="J704" t="s">
        <v>12</v>
      </c>
      <c r="K704">
        <f>IF(tbl_ChargingStation[[#This Row],[status]]="Operational",1,0)</f>
        <v>1</v>
      </c>
      <c r="L704">
        <f t="shared" si="20"/>
        <v>1</v>
      </c>
      <c r="M704" t="str">
        <f t="shared" si="21"/>
        <v>Odisha</v>
      </c>
    </row>
    <row r="705" spans="1:13">
      <c r="A705">
        <v>479115</v>
      </c>
      <c r="B705" t="s">
        <v>24</v>
      </c>
      <c r="C705" t="s">
        <v>12</v>
      </c>
      <c r="D705" t="s">
        <v>20</v>
      </c>
      <c r="E705" t="s">
        <v>13</v>
      </c>
      <c r="F705">
        <v>19.30744</v>
      </c>
      <c r="G705">
        <v>84.816649999999996</v>
      </c>
      <c r="H705">
        <v>1</v>
      </c>
      <c r="I705" t="s">
        <v>14</v>
      </c>
      <c r="J705" t="s">
        <v>12</v>
      </c>
      <c r="K705">
        <f>IF(tbl_ChargingStation[[#This Row],[status]]="Operational",1,0)</f>
        <v>1</v>
      </c>
      <c r="L705">
        <f t="shared" si="20"/>
        <v>1</v>
      </c>
      <c r="M705" t="str">
        <f t="shared" si="21"/>
        <v>Odisha</v>
      </c>
    </row>
    <row r="706" spans="1:13">
      <c r="A706">
        <v>479114</v>
      </c>
      <c r="B706" t="s">
        <v>28</v>
      </c>
      <c r="C706" t="s">
        <v>12</v>
      </c>
      <c r="D706" t="s">
        <v>20</v>
      </c>
      <c r="E706" t="s">
        <v>13</v>
      </c>
      <c r="F706">
        <v>19.317699699999999</v>
      </c>
      <c r="G706">
        <v>84.790583600000005</v>
      </c>
      <c r="H706">
        <v>1</v>
      </c>
      <c r="I706" t="s">
        <v>14</v>
      </c>
      <c r="J706" t="s">
        <v>12</v>
      </c>
      <c r="K706">
        <f>IF(tbl_ChargingStation[[#This Row],[status]]="Operational",1,0)</f>
        <v>1</v>
      </c>
      <c r="L706">
        <f t="shared" ref="L706:L769" si="22">H706*K706</f>
        <v>1</v>
      </c>
      <c r="M706" t="str">
        <f t="shared" ref="M706:M769" si="23">IF(D706="GJ","Gujarat",IF(OR(D706="Keral",D706="Keraka",D706="Lerala"),"Kerala",IF(D706="MH","Maharashtra",IF(D706="MP","Madhya Pradesh",IF(D706="RJ","Rajasthan",IF(D706="TAMILNADU","Tamil Nadu",IF(D706="Uttarakhnad","Uttarakhand",D706)))))))</f>
        <v>Odisha</v>
      </c>
    </row>
    <row r="707" spans="1:13">
      <c r="A707">
        <v>479113</v>
      </c>
      <c r="B707" t="s">
        <v>24</v>
      </c>
      <c r="C707" t="s">
        <v>12</v>
      </c>
      <c r="D707" t="s">
        <v>20</v>
      </c>
      <c r="E707" t="s">
        <v>13</v>
      </c>
      <c r="F707">
        <v>19.321629999999999</v>
      </c>
      <c r="G707">
        <v>84.867149999999995</v>
      </c>
      <c r="H707">
        <v>1</v>
      </c>
      <c r="I707" t="s">
        <v>14</v>
      </c>
      <c r="J707" t="s">
        <v>12</v>
      </c>
      <c r="K707">
        <f>IF(tbl_ChargingStation[[#This Row],[status]]="Operational",1,0)</f>
        <v>1</v>
      </c>
      <c r="L707">
        <f t="shared" si="22"/>
        <v>1</v>
      </c>
      <c r="M707" t="str">
        <f t="shared" si="23"/>
        <v>Odisha</v>
      </c>
    </row>
    <row r="708" spans="1:13">
      <c r="A708">
        <v>479112</v>
      </c>
      <c r="B708" t="s">
        <v>24</v>
      </c>
      <c r="C708" t="s">
        <v>12</v>
      </c>
      <c r="D708" t="s">
        <v>20</v>
      </c>
      <c r="E708" t="s">
        <v>13</v>
      </c>
      <c r="F708">
        <v>19.319884999999999</v>
      </c>
      <c r="G708">
        <v>84.781130000000005</v>
      </c>
      <c r="H708">
        <v>1</v>
      </c>
      <c r="I708" t="s">
        <v>14</v>
      </c>
      <c r="J708" t="s">
        <v>12</v>
      </c>
      <c r="K708">
        <f>IF(tbl_ChargingStation[[#This Row],[status]]="Operational",1,0)</f>
        <v>1</v>
      </c>
      <c r="L708">
        <f t="shared" si="22"/>
        <v>1</v>
      </c>
      <c r="M708" t="str">
        <f t="shared" si="23"/>
        <v>Odisha</v>
      </c>
    </row>
    <row r="709" spans="1:13">
      <c r="A709">
        <v>479111</v>
      </c>
      <c r="B709" t="s">
        <v>24</v>
      </c>
      <c r="C709" t="s">
        <v>12</v>
      </c>
      <c r="D709" t="s">
        <v>20</v>
      </c>
      <c r="E709" t="s">
        <v>13</v>
      </c>
      <c r="F709">
        <v>19.2956471</v>
      </c>
      <c r="G709">
        <v>84.819565800000007</v>
      </c>
      <c r="H709">
        <v>1</v>
      </c>
      <c r="I709" t="s">
        <v>14</v>
      </c>
      <c r="J709" t="s">
        <v>12</v>
      </c>
      <c r="K709">
        <f>IF(tbl_ChargingStation[[#This Row],[status]]="Operational",1,0)</f>
        <v>1</v>
      </c>
      <c r="L709">
        <f t="shared" si="22"/>
        <v>1</v>
      </c>
      <c r="M709" t="str">
        <f t="shared" si="23"/>
        <v>Odisha</v>
      </c>
    </row>
    <row r="710" spans="1:13">
      <c r="A710">
        <v>479110</v>
      </c>
      <c r="B710" t="s">
        <v>29</v>
      </c>
      <c r="C710" t="s">
        <v>12</v>
      </c>
      <c r="D710" t="s">
        <v>20</v>
      </c>
      <c r="E710" t="s">
        <v>13</v>
      </c>
      <c r="F710">
        <v>19.334627000000001</v>
      </c>
      <c r="G710">
        <v>84.768619000000001</v>
      </c>
      <c r="H710">
        <v>1</v>
      </c>
      <c r="I710" t="s">
        <v>14</v>
      </c>
      <c r="J710" t="s">
        <v>12</v>
      </c>
      <c r="K710">
        <f>IF(tbl_ChargingStation[[#This Row],[status]]="Operational",1,0)</f>
        <v>1</v>
      </c>
      <c r="L710">
        <f t="shared" si="22"/>
        <v>1</v>
      </c>
      <c r="M710" t="str">
        <f t="shared" si="23"/>
        <v>Odisha</v>
      </c>
    </row>
    <row r="711" spans="1:13">
      <c r="A711">
        <v>479109</v>
      </c>
      <c r="B711" t="s">
        <v>25</v>
      </c>
      <c r="C711" t="s">
        <v>12</v>
      </c>
      <c r="D711" t="s">
        <v>20</v>
      </c>
      <c r="E711" t="s">
        <v>13</v>
      </c>
      <c r="F711">
        <v>19.305727699999998</v>
      </c>
      <c r="G711">
        <v>84.781726800000001</v>
      </c>
      <c r="H711">
        <v>1</v>
      </c>
      <c r="I711" t="s">
        <v>41</v>
      </c>
      <c r="J711" t="s">
        <v>12</v>
      </c>
      <c r="K711">
        <f>IF(tbl_ChargingStation[[#This Row],[status]]="Operational",1,0)</f>
        <v>0</v>
      </c>
      <c r="L711">
        <f t="shared" si="22"/>
        <v>0</v>
      </c>
      <c r="M711" t="str">
        <f t="shared" si="23"/>
        <v>Odisha</v>
      </c>
    </row>
    <row r="712" spans="1:13">
      <c r="A712">
        <v>479108</v>
      </c>
      <c r="B712" t="s">
        <v>24</v>
      </c>
      <c r="C712" t="s">
        <v>12</v>
      </c>
      <c r="D712" t="s">
        <v>20</v>
      </c>
      <c r="E712" t="s">
        <v>13</v>
      </c>
      <c r="F712">
        <v>19.303381000000002</v>
      </c>
      <c r="G712">
        <v>84.795044000000004</v>
      </c>
      <c r="H712">
        <v>1</v>
      </c>
      <c r="I712" t="s">
        <v>14</v>
      </c>
      <c r="J712" t="s">
        <v>12</v>
      </c>
      <c r="K712">
        <f>IF(tbl_ChargingStation[[#This Row],[status]]="Operational",1,0)</f>
        <v>1</v>
      </c>
      <c r="L712">
        <f t="shared" si="22"/>
        <v>1</v>
      </c>
      <c r="M712" t="str">
        <f t="shared" si="23"/>
        <v>Odisha</v>
      </c>
    </row>
    <row r="713" spans="1:13">
      <c r="A713">
        <v>479107</v>
      </c>
      <c r="B713" t="s">
        <v>19</v>
      </c>
      <c r="C713" t="s">
        <v>12</v>
      </c>
      <c r="D713" t="s">
        <v>20</v>
      </c>
      <c r="E713" t="s">
        <v>13</v>
      </c>
      <c r="F713">
        <v>19.299171399999999</v>
      </c>
      <c r="G713">
        <v>84.831763100000003</v>
      </c>
      <c r="H713">
        <v>1</v>
      </c>
      <c r="I713" t="s">
        <v>14</v>
      </c>
      <c r="J713" t="s">
        <v>12</v>
      </c>
      <c r="K713">
        <f>IF(tbl_ChargingStation[[#This Row],[status]]="Operational",1,0)</f>
        <v>1</v>
      </c>
      <c r="L713">
        <f t="shared" si="22"/>
        <v>1</v>
      </c>
      <c r="M713" t="str">
        <f t="shared" si="23"/>
        <v>Odisha</v>
      </c>
    </row>
    <row r="714" spans="1:13">
      <c r="A714">
        <v>479106</v>
      </c>
      <c r="B714" t="s">
        <v>56</v>
      </c>
      <c r="C714" t="s">
        <v>12</v>
      </c>
      <c r="D714" t="s">
        <v>20</v>
      </c>
      <c r="E714" t="s">
        <v>13</v>
      </c>
      <c r="F714">
        <v>19.447534999999998</v>
      </c>
      <c r="G714">
        <v>84.591458000000003</v>
      </c>
      <c r="H714">
        <v>1</v>
      </c>
      <c r="I714" t="s">
        <v>14</v>
      </c>
      <c r="J714" t="s">
        <v>12</v>
      </c>
      <c r="K714">
        <f>IF(tbl_ChargingStation[[#This Row],[status]]="Operational",1,0)</f>
        <v>1</v>
      </c>
      <c r="L714">
        <f t="shared" si="22"/>
        <v>1</v>
      </c>
      <c r="M714" t="str">
        <f t="shared" si="23"/>
        <v>Odisha</v>
      </c>
    </row>
    <row r="715" spans="1:13">
      <c r="A715">
        <v>479105</v>
      </c>
      <c r="B715" t="s">
        <v>28</v>
      </c>
      <c r="C715" t="s">
        <v>12</v>
      </c>
      <c r="D715" t="s">
        <v>20</v>
      </c>
      <c r="E715" t="s">
        <v>13</v>
      </c>
      <c r="F715">
        <v>19.180776000000002</v>
      </c>
      <c r="G715">
        <v>84.725326999999993</v>
      </c>
      <c r="H715">
        <v>1</v>
      </c>
      <c r="I715" t="s">
        <v>14</v>
      </c>
      <c r="J715" t="s">
        <v>12</v>
      </c>
      <c r="K715">
        <f>IF(tbl_ChargingStation[[#This Row],[status]]="Operational",1,0)</f>
        <v>1</v>
      </c>
      <c r="L715">
        <f t="shared" si="22"/>
        <v>1</v>
      </c>
      <c r="M715" t="str">
        <f t="shared" si="23"/>
        <v>Odisha</v>
      </c>
    </row>
    <row r="716" spans="1:13">
      <c r="A716">
        <v>479104</v>
      </c>
      <c r="B716" t="s">
        <v>24</v>
      </c>
      <c r="C716" t="s">
        <v>12</v>
      </c>
      <c r="D716" t="s">
        <v>20</v>
      </c>
      <c r="E716" t="s">
        <v>13</v>
      </c>
      <c r="F716">
        <v>19.268920000000001</v>
      </c>
      <c r="G716">
        <v>84.777450000000002</v>
      </c>
      <c r="H716">
        <v>1</v>
      </c>
      <c r="I716" t="s">
        <v>41</v>
      </c>
      <c r="J716" t="s">
        <v>12</v>
      </c>
      <c r="K716">
        <f>IF(tbl_ChargingStation[[#This Row],[status]]="Operational",1,0)</f>
        <v>0</v>
      </c>
      <c r="L716">
        <f t="shared" si="22"/>
        <v>0</v>
      </c>
      <c r="M716" t="str">
        <f t="shared" si="23"/>
        <v>Odisha</v>
      </c>
    </row>
    <row r="717" spans="1:13">
      <c r="A717">
        <v>479103</v>
      </c>
      <c r="B717" t="s">
        <v>29</v>
      </c>
      <c r="C717" t="s">
        <v>12</v>
      </c>
      <c r="D717" t="s">
        <v>20</v>
      </c>
      <c r="E717" t="s">
        <v>13</v>
      </c>
      <c r="F717">
        <v>19.183323999999999</v>
      </c>
      <c r="G717">
        <v>84.727615999999998</v>
      </c>
      <c r="H717">
        <v>1</v>
      </c>
      <c r="I717" t="s">
        <v>14</v>
      </c>
      <c r="J717" t="s">
        <v>12</v>
      </c>
      <c r="K717">
        <f>IF(tbl_ChargingStation[[#This Row],[status]]="Operational",1,0)</f>
        <v>1</v>
      </c>
      <c r="L717">
        <f t="shared" si="22"/>
        <v>1</v>
      </c>
      <c r="M717" t="str">
        <f t="shared" si="23"/>
        <v>Odisha</v>
      </c>
    </row>
    <row r="718" spans="1:13">
      <c r="A718">
        <v>479102</v>
      </c>
      <c r="B718" t="s">
        <v>24</v>
      </c>
      <c r="C718" t="s">
        <v>12</v>
      </c>
      <c r="D718" t="s">
        <v>20</v>
      </c>
      <c r="E718" t="s">
        <v>13</v>
      </c>
      <c r="F718">
        <v>19.194212</v>
      </c>
      <c r="G718">
        <v>84.617559999999997</v>
      </c>
      <c r="H718">
        <v>1</v>
      </c>
      <c r="I718" t="s">
        <v>14</v>
      </c>
      <c r="J718" t="s">
        <v>12</v>
      </c>
      <c r="K718">
        <f>IF(tbl_ChargingStation[[#This Row],[status]]="Operational",1,0)</f>
        <v>1</v>
      </c>
      <c r="L718">
        <f t="shared" si="22"/>
        <v>1</v>
      </c>
      <c r="M718" t="str">
        <f t="shared" si="23"/>
        <v>Odisha</v>
      </c>
    </row>
    <row r="719" spans="1:13">
      <c r="A719">
        <v>479101</v>
      </c>
      <c r="B719" t="s">
        <v>24</v>
      </c>
      <c r="C719" t="s">
        <v>12</v>
      </c>
      <c r="D719" t="s">
        <v>20</v>
      </c>
      <c r="E719" t="s">
        <v>13</v>
      </c>
      <c r="F719">
        <v>18.845465000000001</v>
      </c>
      <c r="G719">
        <v>84.503100000000003</v>
      </c>
      <c r="H719">
        <v>1</v>
      </c>
      <c r="I719" t="s">
        <v>14</v>
      </c>
      <c r="J719" t="s">
        <v>12</v>
      </c>
      <c r="K719">
        <f>IF(tbl_ChargingStation[[#This Row],[status]]="Operational",1,0)</f>
        <v>1</v>
      </c>
      <c r="L719">
        <f t="shared" si="22"/>
        <v>1</v>
      </c>
      <c r="M719" t="str">
        <f t="shared" si="23"/>
        <v>Odisha</v>
      </c>
    </row>
    <row r="720" spans="1:13">
      <c r="A720">
        <v>479100</v>
      </c>
      <c r="B720" t="s">
        <v>57</v>
      </c>
      <c r="C720" t="s">
        <v>12</v>
      </c>
      <c r="D720" t="s">
        <v>20</v>
      </c>
      <c r="E720" t="s">
        <v>13</v>
      </c>
      <c r="F720">
        <v>18.802062500000002</v>
      </c>
      <c r="G720">
        <v>83.991812499999995</v>
      </c>
      <c r="H720">
        <v>1</v>
      </c>
      <c r="I720" t="s">
        <v>14</v>
      </c>
      <c r="J720" t="s">
        <v>12</v>
      </c>
      <c r="K720">
        <f>IF(tbl_ChargingStation[[#This Row],[status]]="Operational",1,0)</f>
        <v>1</v>
      </c>
      <c r="L720">
        <f t="shared" si="22"/>
        <v>1</v>
      </c>
      <c r="M720" t="str">
        <f t="shared" si="23"/>
        <v>Odisha</v>
      </c>
    </row>
    <row r="721" spans="1:13">
      <c r="A721">
        <v>479099</v>
      </c>
      <c r="B721" t="s">
        <v>28</v>
      </c>
      <c r="C721" t="s">
        <v>12</v>
      </c>
      <c r="D721" t="s">
        <v>20</v>
      </c>
      <c r="E721" t="s">
        <v>13</v>
      </c>
      <c r="F721">
        <v>18.768916699999998</v>
      </c>
      <c r="G721">
        <v>83.421538699999999</v>
      </c>
      <c r="H721">
        <v>1</v>
      </c>
      <c r="I721" t="s">
        <v>14</v>
      </c>
      <c r="J721" t="s">
        <v>12</v>
      </c>
      <c r="K721">
        <f>IF(tbl_ChargingStation[[#This Row],[status]]="Operational",1,0)</f>
        <v>1</v>
      </c>
      <c r="L721">
        <f t="shared" si="22"/>
        <v>1</v>
      </c>
      <c r="M721" t="str">
        <f t="shared" si="23"/>
        <v>Odisha</v>
      </c>
    </row>
    <row r="722" spans="1:13">
      <c r="A722">
        <v>479098</v>
      </c>
      <c r="B722" t="s">
        <v>19</v>
      </c>
      <c r="C722" t="s">
        <v>12</v>
      </c>
      <c r="D722" t="s">
        <v>20</v>
      </c>
      <c r="E722" t="s">
        <v>13</v>
      </c>
      <c r="F722">
        <v>18.8582131</v>
      </c>
      <c r="G722">
        <v>82.589905099999996</v>
      </c>
      <c r="H722">
        <v>1</v>
      </c>
      <c r="I722" t="s">
        <v>14</v>
      </c>
      <c r="J722" t="s">
        <v>12</v>
      </c>
      <c r="K722">
        <f>IF(tbl_ChargingStation[[#This Row],[status]]="Operational",1,0)</f>
        <v>1</v>
      </c>
      <c r="L722">
        <f t="shared" si="22"/>
        <v>1</v>
      </c>
      <c r="M722" t="str">
        <f t="shared" si="23"/>
        <v>Odisha</v>
      </c>
    </row>
    <row r="723" spans="1:13">
      <c r="A723">
        <v>479096</v>
      </c>
      <c r="B723" t="s">
        <v>24</v>
      </c>
      <c r="C723" t="s">
        <v>12</v>
      </c>
      <c r="D723" t="s">
        <v>20</v>
      </c>
      <c r="E723" t="s">
        <v>13</v>
      </c>
      <c r="F723">
        <v>18.606024000000001</v>
      </c>
      <c r="G723">
        <v>84.229915000000005</v>
      </c>
      <c r="H723">
        <v>1</v>
      </c>
      <c r="I723" t="s">
        <v>14</v>
      </c>
      <c r="J723" t="s">
        <v>12</v>
      </c>
      <c r="K723">
        <f>IF(tbl_ChargingStation[[#This Row],[status]]="Operational",1,0)</f>
        <v>1</v>
      </c>
      <c r="L723">
        <f t="shared" si="22"/>
        <v>1</v>
      </c>
      <c r="M723" t="str">
        <f t="shared" si="23"/>
        <v>Odisha</v>
      </c>
    </row>
    <row r="724" spans="1:13">
      <c r="A724">
        <v>479095</v>
      </c>
      <c r="B724" t="s">
        <v>19</v>
      </c>
      <c r="C724" t="s">
        <v>12</v>
      </c>
      <c r="D724" t="s">
        <v>20</v>
      </c>
      <c r="E724" t="s">
        <v>13</v>
      </c>
      <c r="F724">
        <v>18.534752999999998</v>
      </c>
      <c r="G724">
        <v>83.651338999999993</v>
      </c>
      <c r="H724">
        <v>1</v>
      </c>
      <c r="I724" t="s">
        <v>14</v>
      </c>
      <c r="J724" t="s">
        <v>12</v>
      </c>
      <c r="K724">
        <f>IF(tbl_ChargingStation[[#This Row],[status]]="Operational",1,0)</f>
        <v>1</v>
      </c>
      <c r="L724">
        <f t="shared" si="22"/>
        <v>1</v>
      </c>
      <c r="M724" t="str">
        <f t="shared" si="23"/>
        <v>Odisha</v>
      </c>
    </row>
    <row r="725" spans="1:13">
      <c r="A725">
        <v>479094</v>
      </c>
      <c r="B725" t="s">
        <v>58</v>
      </c>
      <c r="C725" t="s">
        <v>12</v>
      </c>
      <c r="D725" t="s">
        <v>20</v>
      </c>
      <c r="E725" t="s">
        <v>13</v>
      </c>
      <c r="F725">
        <v>18.597046500000001</v>
      </c>
      <c r="G725">
        <v>83.764094499999999</v>
      </c>
      <c r="H725">
        <v>1</v>
      </c>
      <c r="I725" t="s">
        <v>14</v>
      </c>
      <c r="J725" t="s">
        <v>12</v>
      </c>
      <c r="K725">
        <f>IF(tbl_ChargingStation[[#This Row],[status]]="Operational",1,0)</f>
        <v>1</v>
      </c>
      <c r="L725">
        <f t="shared" si="22"/>
        <v>1</v>
      </c>
      <c r="M725" t="str">
        <f t="shared" si="23"/>
        <v>Odisha</v>
      </c>
    </row>
    <row r="726" spans="1:13">
      <c r="A726">
        <v>479093</v>
      </c>
      <c r="B726" t="s">
        <v>28</v>
      </c>
      <c r="C726" t="s">
        <v>12</v>
      </c>
      <c r="D726" t="s">
        <v>20</v>
      </c>
      <c r="E726" t="s">
        <v>13</v>
      </c>
      <c r="F726">
        <v>18.610439400000001</v>
      </c>
      <c r="G726">
        <v>83.399228500000007</v>
      </c>
      <c r="H726">
        <v>1</v>
      </c>
      <c r="I726" t="s">
        <v>14</v>
      </c>
      <c r="J726" t="s">
        <v>12</v>
      </c>
      <c r="K726">
        <f>IF(tbl_ChargingStation[[#This Row],[status]]="Operational",1,0)</f>
        <v>1</v>
      </c>
      <c r="L726">
        <f t="shared" si="22"/>
        <v>1</v>
      </c>
      <c r="M726" t="str">
        <f t="shared" si="23"/>
        <v>Odisha</v>
      </c>
    </row>
    <row r="727" spans="1:13">
      <c r="A727">
        <v>479092</v>
      </c>
      <c r="B727" t="s">
        <v>19</v>
      </c>
      <c r="C727" t="s">
        <v>12</v>
      </c>
      <c r="D727" t="s">
        <v>20</v>
      </c>
      <c r="E727" t="s">
        <v>13</v>
      </c>
      <c r="F727">
        <v>18.503509300000001</v>
      </c>
      <c r="G727">
        <v>83.246970500000003</v>
      </c>
      <c r="H727">
        <v>1</v>
      </c>
      <c r="I727" t="s">
        <v>14</v>
      </c>
      <c r="J727" t="s">
        <v>12</v>
      </c>
      <c r="K727">
        <f>IF(tbl_ChargingStation[[#This Row],[status]]="Operational",1,0)</f>
        <v>1</v>
      </c>
      <c r="L727">
        <f t="shared" si="22"/>
        <v>1</v>
      </c>
      <c r="M727" t="str">
        <f t="shared" si="23"/>
        <v>Odisha</v>
      </c>
    </row>
    <row r="728" spans="1:13">
      <c r="A728">
        <v>479091</v>
      </c>
      <c r="B728" t="s">
        <v>23</v>
      </c>
      <c r="C728" t="s">
        <v>12</v>
      </c>
      <c r="D728" t="s">
        <v>20</v>
      </c>
      <c r="E728" t="s">
        <v>13</v>
      </c>
      <c r="F728">
        <v>18.701207799999999</v>
      </c>
      <c r="G728">
        <v>82.879836999999995</v>
      </c>
      <c r="H728">
        <v>1</v>
      </c>
      <c r="I728" t="s">
        <v>14</v>
      </c>
      <c r="J728" t="s">
        <v>12</v>
      </c>
      <c r="K728">
        <f>IF(tbl_ChargingStation[[#This Row],[status]]="Operational",1,0)</f>
        <v>1</v>
      </c>
      <c r="L728">
        <f t="shared" si="22"/>
        <v>1</v>
      </c>
      <c r="M728" t="str">
        <f t="shared" si="23"/>
        <v>Odisha</v>
      </c>
    </row>
    <row r="729" spans="1:13">
      <c r="A729">
        <v>479090</v>
      </c>
      <c r="B729" t="s">
        <v>24</v>
      </c>
      <c r="C729" t="s">
        <v>12</v>
      </c>
      <c r="D729" t="s">
        <v>20</v>
      </c>
      <c r="E729" t="s">
        <v>13</v>
      </c>
      <c r="F729">
        <v>18.295933000000002</v>
      </c>
      <c r="G729">
        <v>83.893147999999997</v>
      </c>
      <c r="H729">
        <v>1</v>
      </c>
      <c r="I729" t="s">
        <v>14</v>
      </c>
      <c r="J729" t="s">
        <v>12</v>
      </c>
      <c r="K729">
        <f>IF(tbl_ChargingStation[[#This Row],[status]]="Operational",1,0)</f>
        <v>1</v>
      </c>
      <c r="L729">
        <f t="shared" si="22"/>
        <v>1</v>
      </c>
      <c r="M729" t="str">
        <f t="shared" si="23"/>
        <v>Odisha</v>
      </c>
    </row>
    <row r="730" spans="1:13">
      <c r="A730">
        <v>479089</v>
      </c>
      <c r="B730" t="s">
        <v>32</v>
      </c>
      <c r="C730" t="s">
        <v>12</v>
      </c>
      <c r="D730" t="s">
        <v>20</v>
      </c>
      <c r="E730" t="s">
        <v>13</v>
      </c>
      <c r="F730">
        <v>18.326279100000001</v>
      </c>
      <c r="G730">
        <v>83.941267999999994</v>
      </c>
      <c r="H730">
        <v>1</v>
      </c>
      <c r="I730" t="s">
        <v>14</v>
      </c>
      <c r="J730" t="s">
        <v>12</v>
      </c>
      <c r="K730">
        <f>IF(tbl_ChargingStation[[#This Row],[status]]="Operational",1,0)</f>
        <v>1</v>
      </c>
      <c r="L730">
        <f t="shared" si="22"/>
        <v>1</v>
      </c>
      <c r="M730" t="str">
        <f t="shared" si="23"/>
        <v>Odisha</v>
      </c>
    </row>
    <row r="731" spans="1:13">
      <c r="A731">
        <v>479088</v>
      </c>
      <c r="B731" t="s">
        <v>19</v>
      </c>
      <c r="C731" t="s">
        <v>12</v>
      </c>
      <c r="D731" t="s">
        <v>20</v>
      </c>
      <c r="E731" t="s">
        <v>13</v>
      </c>
      <c r="F731">
        <v>18.324358799999999</v>
      </c>
      <c r="G731">
        <v>83.939110200000002</v>
      </c>
      <c r="H731">
        <v>1</v>
      </c>
      <c r="I731" t="s">
        <v>14</v>
      </c>
      <c r="J731" t="s">
        <v>12</v>
      </c>
      <c r="K731">
        <f>IF(tbl_ChargingStation[[#This Row],[status]]="Operational",1,0)</f>
        <v>1</v>
      </c>
      <c r="L731">
        <f t="shared" si="22"/>
        <v>1</v>
      </c>
      <c r="M731" t="str">
        <f t="shared" si="23"/>
        <v>Odisha</v>
      </c>
    </row>
    <row r="732" spans="1:13">
      <c r="A732">
        <v>479086</v>
      </c>
      <c r="B732" t="s">
        <v>59</v>
      </c>
      <c r="C732" t="s">
        <v>12</v>
      </c>
      <c r="D732" t="s">
        <v>20</v>
      </c>
      <c r="E732" t="s">
        <v>13</v>
      </c>
      <c r="F732">
        <v>18.322673600000002</v>
      </c>
      <c r="G732">
        <v>83.893721999999997</v>
      </c>
      <c r="H732">
        <v>1</v>
      </c>
      <c r="I732" t="s">
        <v>14</v>
      </c>
      <c r="J732" t="s">
        <v>12</v>
      </c>
      <c r="K732">
        <f>IF(tbl_ChargingStation[[#This Row],[status]]="Operational",1,0)</f>
        <v>1</v>
      </c>
      <c r="L732">
        <f t="shared" si="22"/>
        <v>1</v>
      </c>
      <c r="M732" t="str">
        <f t="shared" si="23"/>
        <v>Odisha</v>
      </c>
    </row>
    <row r="733" spans="1:13">
      <c r="A733">
        <v>479085</v>
      </c>
      <c r="B733" t="s">
        <v>60</v>
      </c>
      <c r="C733" t="s">
        <v>12</v>
      </c>
      <c r="D733" t="s">
        <v>20</v>
      </c>
      <c r="E733" t="s">
        <v>13</v>
      </c>
      <c r="F733">
        <v>18.424328500000001</v>
      </c>
      <c r="G733">
        <v>84.048024600000005</v>
      </c>
      <c r="H733">
        <v>1</v>
      </c>
      <c r="I733" t="s">
        <v>14</v>
      </c>
      <c r="J733" t="s">
        <v>12</v>
      </c>
      <c r="K733">
        <f>IF(tbl_ChargingStation[[#This Row],[status]]="Operational",1,0)</f>
        <v>1</v>
      </c>
      <c r="L733">
        <f t="shared" si="22"/>
        <v>1</v>
      </c>
      <c r="M733" t="str">
        <f t="shared" si="23"/>
        <v>Odisha</v>
      </c>
    </row>
    <row r="734" spans="1:13">
      <c r="A734">
        <v>479084</v>
      </c>
      <c r="B734" t="s">
        <v>61</v>
      </c>
      <c r="C734" t="s">
        <v>12</v>
      </c>
      <c r="D734" t="s">
        <v>20</v>
      </c>
      <c r="E734" t="s">
        <v>13</v>
      </c>
      <c r="F734">
        <v>18.309546000000001</v>
      </c>
      <c r="G734">
        <v>83.918819999999997</v>
      </c>
      <c r="H734">
        <v>1</v>
      </c>
      <c r="I734" t="s">
        <v>14</v>
      </c>
      <c r="J734" t="s">
        <v>12</v>
      </c>
      <c r="K734">
        <f>IF(tbl_ChargingStation[[#This Row],[status]]="Operational",1,0)</f>
        <v>1</v>
      </c>
      <c r="L734">
        <f t="shared" si="22"/>
        <v>1</v>
      </c>
      <c r="M734" t="str">
        <f t="shared" si="23"/>
        <v>Odisha</v>
      </c>
    </row>
    <row r="735" spans="1:13">
      <c r="A735">
        <v>479083</v>
      </c>
      <c r="B735" t="s">
        <v>62</v>
      </c>
      <c r="C735" t="s">
        <v>12</v>
      </c>
      <c r="D735" t="s">
        <v>20</v>
      </c>
      <c r="E735" t="s">
        <v>13</v>
      </c>
      <c r="F735">
        <v>18.300440800000001</v>
      </c>
      <c r="G735">
        <v>83.871162799999993</v>
      </c>
      <c r="H735">
        <v>1</v>
      </c>
      <c r="I735" t="s">
        <v>14</v>
      </c>
      <c r="J735" t="s">
        <v>12</v>
      </c>
      <c r="K735">
        <f>IF(tbl_ChargingStation[[#This Row],[status]]="Operational",1,0)</f>
        <v>1</v>
      </c>
      <c r="L735">
        <f t="shared" si="22"/>
        <v>1</v>
      </c>
      <c r="M735" t="str">
        <f t="shared" si="23"/>
        <v>Odisha</v>
      </c>
    </row>
    <row r="736" spans="1:13">
      <c r="A736">
        <v>479082</v>
      </c>
      <c r="B736" t="s">
        <v>23</v>
      </c>
      <c r="C736" t="s">
        <v>12</v>
      </c>
      <c r="D736" t="s">
        <v>20</v>
      </c>
      <c r="E736" t="s">
        <v>13</v>
      </c>
      <c r="F736">
        <v>18.289377999999999</v>
      </c>
      <c r="G736">
        <v>83.914593999999994</v>
      </c>
      <c r="H736">
        <v>1</v>
      </c>
      <c r="I736" t="s">
        <v>14</v>
      </c>
      <c r="J736" t="s">
        <v>12</v>
      </c>
      <c r="K736">
        <f>IF(tbl_ChargingStation[[#This Row],[status]]="Operational",1,0)</f>
        <v>1</v>
      </c>
      <c r="L736">
        <f t="shared" si="22"/>
        <v>1</v>
      </c>
      <c r="M736" t="str">
        <f t="shared" si="23"/>
        <v>Odisha</v>
      </c>
    </row>
    <row r="737" spans="1:13">
      <c r="A737">
        <v>479081</v>
      </c>
      <c r="B737" t="s">
        <v>24</v>
      </c>
      <c r="C737" t="s">
        <v>12</v>
      </c>
      <c r="D737" t="s">
        <v>20</v>
      </c>
      <c r="E737" t="s">
        <v>13</v>
      </c>
      <c r="F737">
        <v>18.279175599999999</v>
      </c>
      <c r="G737">
        <v>83.526138599999996</v>
      </c>
      <c r="H737">
        <v>1</v>
      </c>
      <c r="I737" t="s">
        <v>14</v>
      </c>
      <c r="J737" t="s">
        <v>12</v>
      </c>
      <c r="K737">
        <f>IF(tbl_ChargingStation[[#This Row],[status]]="Operational",1,0)</f>
        <v>1</v>
      </c>
      <c r="L737">
        <f t="shared" si="22"/>
        <v>1</v>
      </c>
      <c r="M737" t="str">
        <f t="shared" si="23"/>
        <v>Odisha</v>
      </c>
    </row>
    <row r="738" spans="1:13">
      <c r="A738">
        <v>479080</v>
      </c>
      <c r="B738" t="s">
        <v>63</v>
      </c>
      <c r="C738" t="s">
        <v>12</v>
      </c>
      <c r="D738" t="s">
        <v>20</v>
      </c>
      <c r="E738" t="s">
        <v>13</v>
      </c>
      <c r="F738">
        <v>18.337203800000001</v>
      </c>
      <c r="G738">
        <v>82.877925500000003</v>
      </c>
      <c r="H738">
        <v>1</v>
      </c>
      <c r="I738" t="s">
        <v>14</v>
      </c>
      <c r="J738" t="s">
        <v>12</v>
      </c>
      <c r="K738">
        <f>IF(tbl_ChargingStation[[#This Row],[status]]="Operational",1,0)</f>
        <v>1</v>
      </c>
      <c r="L738">
        <f t="shared" si="22"/>
        <v>1</v>
      </c>
      <c r="M738" t="str">
        <f t="shared" si="23"/>
        <v>Odisha</v>
      </c>
    </row>
    <row r="739" spans="1:13">
      <c r="A739">
        <v>479079</v>
      </c>
      <c r="B739" t="s">
        <v>24</v>
      </c>
      <c r="C739" t="s">
        <v>12</v>
      </c>
      <c r="D739" t="s">
        <v>20</v>
      </c>
      <c r="E739" t="s">
        <v>13</v>
      </c>
      <c r="F739">
        <v>18.3225938</v>
      </c>
      <c r="G739">
        <v>82.877651799999995</v>
      </c>
      <c r="H739">
        <v>1</v>
      </c>
      <c r="I739" t="s">
        <v>14</v>
      </c>
      <c r="J739" t="s">
        <v>12</v>
      </c>
      <c r="K739">
        <f>IF(tbl_ChargingStation[[#This Row],[status]]="Operational",1,0)</f>
        <v>1</v>
      </c>
      <c r="L739">
        <f t="shared" si="22"/>
        <v>1</v>
      </c>
      <c r="M739" t="str">
        <f t="shared" si="23"/>
        <v>Odisha</v>
      </c>
    </row>
    <row r="740" spans="1:13">
      <c r="A740">
        <v>479078</v>
      </c>
      <c r="B740" t="s">
        <v>64</v>
      </c>
      <c r="C740" t="s">
        <v>12</v>
      </c>
      <c r="D740" t="s">
        <v>20</v>
      </c>
      <c r="E740" t="s">
        <v>13</v>
      </c>
      <c r="F740">
        <v>18.295865200000001</v>
      </c>
      <c r="G740">
        <v>82.914474799999994</v>
      </c>
      <c r="H740">
        <v>1</v>
      </c>
      <c r="I740" t="s">
        <v>14</v>
      </c>
      <c r="J740" t="s">
        <v>12</v>
      </c>
      <c r="K740">
        <f>IF(tbl_ChargingStation[[#This Row],[status]]="Operational",1,0)</f>
        <v>1</v>
      </c>
      <c r="L740">
        <f t="shared" si="22"/>
        <v>1</v>
      </c>
      <c r="M740" t="str">
        <f t="shared" si="23"/>
        <v>Odisha</v>
      </c>
    </row>
    <row r="741" spans="1:13">
      <c r="A741">
        <v>479077</v>
      </c>
      <c r="B741" t="s">
        <v>28</v>
      </c>
      <c r="C741" t="s">
        <v>12</v>
      </c>
      <c r="D741" t="s">
        <v>20</v>
      </c>
      <c r="E741" t="s">
        <v>13</v>
      </c>
      <c r="F741">
        <v>18.313714099999999</v>
      </c>
      <c r="G741">
        <v>82.893742399999994</v>
      </c>
      <c r="H741">
        <v>1</v>
      </c>
      <c r="I741" t="s">
        <v>14</v>
      </c>
      <c r="J741" t="s">
        <v>12</v>
      </c>
      <c r="K741">
        <f>IF(tbl_ChargingStation[[#This Row],[status]]="Operational",1,0)</f>
        <v>1</v>
      </c>
      <c r="L741">
        <f t="shared" si="22"/>
        <v>1</v>
      </c>
      <c r="M741" t="str">
        <f t="shared" si="23"/>
        <v>Odisha</v>
      </c>
    </row>
    <row r="742" spans="1:13">
      <c r="A742">
        <v>479076</v>
      </c>
      <c r="B742" t="s">
        <v>19</v>
      </c>
      <c r="C742" t="s">
        <v>12</v>
      </c>
      <c r="D742" t="s">
        <v>20</v>
      </c>
      <c r="E742" t="s">
        <v>13</v>
      </c>
      <c r="F742">
        <v>18.139519</v>
      </c>
      <c r="G742">
        <v>83.617594999999994</v>
      </c>
      <c r="H742">
        <v>1</v>
      </c>
      <c r="I742" t="s">
        <v>14</v>
      </c>
      <c r="J742" t="s">
        <v>12</v>
      </c>
      <c r="K742">
        <f>IF(tbl_ChargingStation[[#This Row],[status]]="Operational",1,0)</f>
        <v>1</v>
      </c>
      <c r="L742">
        <f t="shared" si="22"/>
        <v>1</v>
      </c>
      <c r="M742" t="str">
        <f t="shared" si="23"/>
        <v>Odisha</v>
      </c>
    </row>
    <row r="743" spans="1:13">
      <c r="A743">
        <v>479075</v>
      </c>
      <c r="B743" t="s">
        <v>32</v>
      </c>
      <c r="C743" t="s">
        <v>12</v>
      </c>
      <c r="D743" t="s">
        <v>20</v>
      </c>
      <c r="E743" t="s">
        <v>13</v>
      </c>
      <c r="F743">
        <v>18.1499177</v>
      </c>
      <c r="G743">
        <v>83.635310599999997</v>
      </c>
      <c r="H743">
        <v>1</v>
      </c>
      <c r="I743" t="s">
        <v>14</v>
      </c>
      <c r="J743" t="s">
        <v>12</v>
      </c>
      <c r="K743">
        <f>IF(tbl_ChargingStation[[#This Row],[status]]="Operational",1,0)</f>
        <v>1</v>
      </c>
      <c r="L743">
        <f t="shared" si="22"/>
        <v>1</v>
      </c>
      <c r="M743" t="str">
        <f t="shared" si="23"/>
        <v>Odisha</v>
      </c>
    </row>
    <row r="744" spans="1:13">
      <c r="A744">
        <v>479074</v>
      </c>
      <c r="B744" t="s">
        <v>19</v>
      </c>
      <c r="C744" t="s">
        <v>12</v>
      </c>
      <c r="D744" t="s">
        <v>20</v>
      </c>
      <c r="E744" t="s">
        <v>13</v>
      </c>
      <c r="F744">
        <v>18.173031999999999</v>
      </c>
      <c r="G744">
        <v>83.676948999999993</v>
      </c>
      <c r="H744">
        <v>1</v>
      </c>
      <c r="I744" t="s">
        <v>14</v>
      </c>
      <c r="J744" t="s">
        <v>12</v>
      </c>
      <c r="K744">
        <f>IF(tbl_ChargingStation[[#This Row],[status]]="Operational",1,0)</f>
        <v>1</v>
      </c>
      <c r="L744">
        <f t="shared" si="22"/>
        <v>1</v>
      </c>
      <c r="M744" t="str">
        <f t="shared" si="23"/>
        <v>Odisha</v>
      </c>
    </row>
    <row r="745" spans="1:13">
      <c r="A745">
        <v>479073</v>
      </c>
      <c r="B745" t="s">
        <v>65</v>
      </c>
      <c r="C745" t="s">
        <v>12</v>
      </c>
      <c r="D745" t="s">
        <v>20</v>
      </c>
      <c r="E745" t="s">
        <v>13</v>
      </c>
      <c r="F745">
        <v>18.0418515</v>
      </c>
      <c r="G745">
        <v>83.509722100000005</v>
      </c>
      <c r="H745">
        <v>1</v>
      </c>
      <c r="I745" t="s">
        <v>14</v>
      </c>
      <c r="J745" t="s">
        <v>12</v>
      </c>
      <c r="K745">
        <f>IF(tbl_ChargingStation[[#This Row],[status]]="Operational",1,0)</f>
        <v>1</v>
      </c>
      <c r="L745">
        <f t="shared" si="22"/>
        <v>1</v>
      </c>
      <c r="M745" t="str">
        <f t="shared" si="23"/>
        <v>Odisha</v>
      </c>
    </row>
    <row r="746" spans="1:13">
      <c r="A746">
        <v>479072</v>
      </c>
      <c r="B746" t="s">
        <v>66</v>
      </c>
      <c r="C746" t="s">
        <v>12</v>
      </c>
      <c r="D746" t="s">
        <v>20</v>
      </c>
      <c r="E746" t="s">
        <v>13</v>
      </c>
      <c r="F746">
        <v>18.020385699999999</v>
      </c>
      <c r="G746">
        <v>83.4020948</v>
      </c>
      <c r="H746">
        <v>1</v>
      </c>
      <c r="I746" t="s">
        <v>14</v>
      </c>
      <c r="J746" t="s">
        <v>12</v>
      </c>
      <c r="K746">
        <f>IF(tbl_ChargingStation[[#This Row],[status]]="Operational",1,0)</f>
        <v>1</v>
      </c>
      <c r="L746">
        <f t="shared" si="22"/>
        <v>1</v>
      </c>
      <c r="M746" t="str">
        <f t="shared" si="23"/>
        <v>Odisha</v>
      </c>
    </row>
    <row r="747" spans="1:13">
      <c r="A747">
        <v>479071</v>
      </c>
      <c r="B747" t="s">
        <v>24</v>
      </c>
      <c r="C747" t="s">
        <v>12</v>
      </c>
      <c r="D747" t="s">
        <v>20</v>
      </c>
      <c r="E747" t="s">
        <v>13</v>
      </c>
      <c r="F747">
        <v>18.056500700000001</v>
      </c>
      <c r="G747">
        <v>83.397112800000002</v>
      </c>
      <c r="H747">
        <v>1</v>
      </c>
      <c r="I747" t="s">
        <v>14</v>
      </c>
      <c r="J747" t="s">
        <v>12</v>
      </c>
      <c r="K747">
        <f>IF(tbl_ChargingStation[[#This Row],[status]]="Operational",1,0)</f>
        <v>1</v>
      </c>
      <c r="L747">
        <f t="shared" si="22"/>
        <v>1</v>
      </c>
      <c r="M747" t="str">
        <f t="shared" si="23"/>
        <v>Odisha</v>
      </c>
    </row>
    <row r="748" spans="1:13">
      <c r="A748">
        <v>479070</v>
      </c>
      <c r="B748" t="s">
        <v>28</v>
      </c>
      <c r="C748" t="s">
        <v>12</v>
      </c>
      <c r="D748" t="s">
        <v>20</v>
      </c>
      <c r="E748" t="s">
        <v>13</v>
      </c>
      <c r="F748">
        <v>18.057097200000001</v>
      </c>
      <c r="G748">
        <v>83.397188099999994</v>
      </c>
      <c r="H748">
        <v>1</v>
      </c>
      <c r="I748" t="s">
        <v>14</v>
      </c>
      <c r="J748" t="s">
        <v>12</v>
      </c>
      <c r="K748">
        <f>IF(tbl_ChargingStation[[#This Row],[status]]="Operational",1,0)</f>
        <v>1</v>
      </c>
      <c r="L748">
        <f t="shared" si="22"/>
        <v>1</v>
      </c>
      <c r="M748" t="str">
        <f t="shared" si="23"/>
        <v>Odisha</v>
      </c>
    </row>
    <row r="749" spans="1:13">
      <c r="A749">
        <v>479069</v>
      </c>
      <c r="B749" t="s">
        <v>67</v>
      </c>
      <c r="C749" t="s">
        <v>12</v>
      </c>
      <c r="D749" t="s">
        <v>20</v>
      </c>
      <c r="E749" t="s">
        <v>13</v>
      </c>
      <c r="F749">
        <v>18.092801600000001</v>
      </c>
      <c r="G749">
        <v>83.388404699999995</v>
      </c>
      <c r="H749">
        <v>1</v>
      </c>
      <c r="I749" t="s">
        <v>14</v>
      </c>
      <c r="J749" t="s">
        <v>12</v>
      </c>
      <c r="K749">
        <f>IF(tbl_ChargingStation[[#This Row],[status]]="Operational",1,0)</f>
        <v>1</v>
      </c>
      <c r="L749">
        <f t="shared" si="22"/>
        <v>1</v>
      </c>
      <c r="M749" t="str">
        <f t="shared" si="23"/>
        <v>Odisha</v>
      </c>
    </row>
    <row r="750" spans="1:13">
      <c r="A750">
        <v>479068</v>
      </c>
      <c r="B750" t="s">
        <v>24</v>
      </c>
      <c r="C750" t="s">
        <v>12</v>
      </c>
      <c r="D750" t="s">
        <v>20</v>
      </c>
      <c r="E750" t="s">
        <v>13</v>
      </c>
      <c r="F750">
        <v>18.080786</v>
      </c>
      <c r="G750">
        <v>83.385279999999995</v>
      </c>
      <c r="H750">
        <v>1</v>
      </c>
      <c r="I750" t="s">
        <v>14</v>
      </c>
      <c r="J750" t="s">
        <v>12</v>
      </c>
      <c r="K750">
        <f>IF(tbl_ChargingStation[[#This Row],[status]]="Operational",1,0)</f>
        <v>1</v>
      </c>
      <c r="L750">
        <f t="shared" si="22"/>
        <v>1</v>
      </c>
      <c r="M750" t="str">
        <f t="shared" si="23"/>
        <v>Odisha</v>
      </c>
    </row>
    <row r="751" spans="1:13">
      <c r="A751">
        <v>479067</v>
      </c>
      <c r="B751" t="s">
        <v>21</v>
      </c>
      <c r="C751" t="s">
        <v>12</v>
      </c>
      <c r="D751" t="s">
        <v>20</v>
      </c>
      <c r="E751" t="s">
        <v>13</v>
      </c>
      <c r="F751">
        <v>17.9524227</v>
      </c>
      <c r="G751">
        <v>83.416358099999997</v>
      </c>
      <c r="H751">
        <v>1</v>
      </c>
      <c r="I751" t="s">
        <v>14</v>
      </c>
      <c r="J751" t="s">
        <v>12</v>
      </c>
      <c r="K751">
        <f>IF(tbl_ChargingStation[[#This Row],[status]]="Operational",1,0)</f>
        <v>1</v>
      </c>
      <c r="L751">
        <f t="shared" si="22"/>
        <v>1</v>
      </c>
      <c r="M751" t="str">
        <f t="shared" si="23"/>
        <v>Odisha</v>
      </c>
    </row>
    <row r="752" spans="1:13">
      <c r="A752">
        <v>479066</v>
      </c>
      <c r="B752" t="s">
        <v>24</v>
      </c>
      <c r="C752" t="s">
        <v>12</v>
      </c>
      <c r="D752" t="s">
        <v>20</v>
      </c>
      <c r="E752" t="s">
        <v>13</v>
      </c>
      <c r="F752">
        <v>18.080143799999998</v>
      </c>
      <c r="G752">
        <v>83.385350900000006</v>
      </c>
      <c r="H752">
        <v>1</v>
      </c>
      <c r="I752" t="s">
        <v>14</v>
      </c>
      <c r="J752" t="s">
        <v>12</v>
      </c>
      <c r="K752">
        <f>IF(tbl_ChargingStation[[#This Row],[status]]="Operational",1,0)</f>
        <v>1</v>
      </c>
      <c r="L752">
        <f t="shared" si="22"/>
        <v>1</v>
      </c>
      <c r="M752" t="str">
        <f t="shared" si="23"/>
        <v>Odisha</v>
      </c>
    </row>
    <row r="753" spans="1:13">
      <c r="A753">
        <v>479065</v>
      </c>
      <c r="B753" t="s">
        <v>22</v>
      </c>
      <c r="C753" t="s">
        <v>12</v>
      </c>
      <c r="D753" t="s">
        <v>20</v>
      </c>
      <c r="E753" t="s">
        <v>13</v>
      </c>
      <c r="F753">
        <v>17.952421000000001</v>
      </c>
      <c r="G753">
        <v>83.416310999999993</v>
      </c>
      <c r="H753">
        <v>1</v>
      </c>
      <c r="I753" t="s">
        <v>14</v>
      </c>
      <c r="J753" t="s">
        <v>12</v>
      </c>
      <c r="K753">
        <f>IF(tbl_ChargingStation[[#This Row],[status]]="Operational",1,0)</f>
        <v>1</v>
      </c>
      <c r="L753">
        <f t="shared" si="22"/>
        <v>1</v>
      </c>
      <c r="M753" t="str">
        <f t="shared" si="23"/>
        <v>Odisha</v>
      </c>
    </row>
    <row r="754" spans="1:13">
      <c r="A754">
        <v>479064</v>
      </c>
      <c r="B754" t="s">
        <v>19</v>
      </c>
      <c r="C754" t="s">
        <v>12</v>
      </c>
      <c r="D754" t="s">
        <v>20</v>
      </c>
      <c r="E754" t="s">
        <v>13</v>
      </c>
      <c r="F754">
        <v>17.957767700000002</v>
      </c>
      <c r="G754">
        <v>83.177360399999998</v>
      </c>
      <c r="H754">
        <v>1</v>
      </c>
      <c r="I754" t="s">
        <v>14</v>
      </c>
      <c r="J754" t="s">
        <v>12</v>
      </c>
      <c r="K754">
        <f>IF(tbl_ChargingStation[[#This Row],[status]]="Operational",1,0)</f>
        <v>1</v>
      </c>
      <c r="L754">
        <f t="shared" si="22"/>
        <v>1</v>
      </c>
      <c r="M754" t="str">
        <f t="shared" si="23"/>
        <v>Odisha</v>
      </c>
    </row>
    <row r="755" spans="1:13">
      <c r="A755">
        <v>479063</v>
      </c>
      <c r="B755" t="s">
        <v>24</v>
      </c>
      <c r="C755" t="s">
        <v>12</v>
      </c>
      <c r="D755" t="s">
        <v>20</v>
      </c>
      <c r="E755" t="s">
        <v>13</v>
      </c>
      <c r="F755">
        <v>18.116682000000001</v>
      </c>
      <c r="G755">
        <v>83.137720000000002</v>
      </c>
      <c r="H755">
        <v>1</v>
      </c>
      <c r="I755" t="s">
        <v>14</v>
      </c>
      <c r="J755" t="s">
        <v>12</v>
      </c>
      <c r="K755">
        <f>IF(tbl_ChargingStation[[#This Row],[status]]="Operational",1,0)</f>
        <v>1</v>
      </c>
      <c r="L755">
        <f t="shared" si="22"/>
        <v>1</v>
      </c>
      <c r="M755" t="str">
        <f t="shared" si="23"/>
        <v>Odisha</v>
      </c>
    </row>
    <row r="756" spans="1:13">
      <c r="A756">
        <v>479062</v>
      </c>
      <c r="B756" t="s">
        <v>23</v>
      </c>
      <c r="C756" t="s">
        <v>12</v>
      </c>
      <c r="D756" t="s">
        <v>20</v>
      </c>
      <c r="E756" t="s">
        <v>13</v>
      </c>
      <c r="F756">
        <v>18.289377999999999</v>
      </c>
      <c r="G756">
        <v>83.914593999999994</v>
      </c>
      <c r="H756">
        <v>1</v>
      </c>
      <c r="I756" t="s">
        <v>14</v>
      </c>
      <c r="J756" t="s">
        <v>12</v>
      </c>
      <c r="K756">
        <f>IF(tbl_ChargingStation[[#This Row],[status]]="Operational",1,0)</f>
        <v>1</v>
      </c>
      <c r="L756">
        <f t="shared" si="22"/>
        <v>1</v>
      </c>
      <c r="M756" t="str">
        <f t="shared" si="23"/>
        <v>Odisha</v>
      </c>
    </row>
    <row r="757" spans="1:13">
      <c r="A757">
        <v>478899</v>
      </c>
      <c r="B757" t="s">
        <v>106</v>
      </c>
      <c r="C757" t="s">
        <v>107</v>
      </c>
      <c r="D757" t="s">
        <v>70</v>
      </c>
      <c r="E757" t="s">
        <v>13</v>
      </c>
      <c r="F757">
        <v>10.5121401</v>
      </c>
      <c r="G757">
        <v>76.248896209999998</v>
      </c>
      <c r="H757">
        <v>1</v>
      </c>
      <c r="I757" t="s">
        <v>14</v>
      </c>
      <c r="J757" t="s">
        <v>71</v>
      </c>
      <c r="K757">
        <f>IF(tbl_ChargingStation[[#This Row],[status]]="Operational",1,0)</f>
        <v>1</v>
      </c>
      <c r="L757">
        <f t="shared" si="22"/>
        <v>1</v>
      </c>
      <c r="M757" t="str">
        <f t="shared" si="23"/>
        <v>Kerala</v>
      </c>
    </row>
    <row r="758" spans="1:13">
      <c r="A758">
        <v>478896</v>
      </c>
      <c r="B758" t="s">
        <v>112</v>
      </c>
      <c r="C758" t="s">
        <v>113</v>
      </c>
      <c r="D758" t="s">
        <v>70</v>
      </c>
      <c r="E758" t="s">
        <v>13</v>
      </c>
      <c r="F758">
        <v>10.611860180000001</v>
      </c>
      <c r="G758">
        <v>76.684164789999997</v>
      </c>
      <c r="H758">
        <v>1</v>
      </c>
      <c r="I758" t="s">
        <v>14</v>
      </c>
      <c r="J758" t="s">
        <v>71</v>
      </c>
      <c r="K758">
        <f>IF(tbl_ChargingStation[[#This Row],[status]]="Operational",1,0)</f>
        <v>1</v>
      </c>
      <c r="L758">
        <f t="shared" si="22"/>
        <v>1</v>
      </c>
      <c r="M758" t="str">
        <f t="shared" si="23"/>
        <v>Kerala</v>
      </c>
    </row>
    <row r="759" spans="1:13">
      <c r="A759">
        <v>478884</v>
      </c>
      <c r="B759" t="s">
        <v>134</v>
      </c>
      <c r="C759" t="s">
        <v>135</v>
      </c>
      <c r="D759" t="s">
        <v>70</v>
      </c>
      <c r="E759" t="s">
        <v>13</v>
      </c>
      <c r="F759">
        <v>12.606281839999999</v>
      </c>
      <c r="G759">
        <v>74.938438239999996</v>
      </c>
      <c r="H759">
        <v>1</v>
      </c>
      <c r="I759" t="s">
        <v>14</v>
      </c>
      <c r="J759" t="s">
        <v>71</v>
      </c>
      <c r="K759">
        <f>IF(tbl_ChargingStation[[#This Row],[status]]="Operational",1,0)</f>
        <v>1</v>
      </c>
      <c r="L759">
        <f t="shared" si="22"/>
        <v>1</v>
      </c>
      <c r="M759" t="str">
        <f t="shared" si="23"/>
        <v>Kerala</v>
      </c>
    </row>
    <row r="760" spans="1:13">
      <c r="A760">
        <v>478862</v>
      </c>
      <c r="B760" t="s">
        <v>178</v>
      </c>
      <c r="C760" t="s">
        <v>154</v>
      </c>
      <c r="D760" t="s">
        <v>138</v>
      </c>
      <c r="E760" t="s">
        <v>13</v>
      </c>
      <c r="F760">
        <v>11.052857749999999</v>
      </c>
      <c r="G760">
        <v>76.945836839999998</v>
      </c>
      <c r="H760">
        <v>1</v>
      </c>
      <c r="I760" t="s">
        <v>14</v>
      </c>
      <c r="J760" t="s">
        <v>174</v>
      </c>
      <c r="K760">
        <f>IF(tbl_ChargingStation[[#This Row],[status]]="Operational",1,0)</f>
        <v>1</v>
      </c>
      <c r="L760">
        <f t="shared" si="22"/>
        <v>1</v>
      </c>
      <c r="M760" t="str">
        <f t="shared" si="23"/>
        <v>Tamil Nadu</v>
      </c>
    </row>
    <row r="761" spans="1:13">
      <c r="A761">
        <v>478861</v>
      </c>
      <c r="B761" t="s">
        <v>175</v>
      </c>
      <c r="C761" t="s">
        <v>179</v>
      </c>
      <c r="D761" t="s">
        <v>138</v>
      </c>
      <c r="E761" t="s">
        <v>13</v>
      </c>
      <c r="F761">
        <v>11.31864953</v>
      </c>
      <c r="G761">
        <v>76.920808730000005</v>
      </c>
      <c r="H761">
        <v>1</v>
      </c>
      <c r="I761" t="s">
        <v>14</v>
      </c>
      <c r="J761" t="s">
        <v>174</v>
      </c>
      <c r="K761">
        <f>IF(tbl_ChargingStation[[#This Row],[status]]="Operational",1,0)</f>
        <v>1</v>
      </c>
      <c r="L761">
        <f t="shared" si="22"/>
        <v>1</v>
      </c>
      <c r="M761" t="str">
        <f t="shared" si="23"/>
        <v>Tamil Nadu</v>
      </c>
    </row>
    <row r="762" spans="1:13">
      <c r="A762">
        <v>478860</v>
      </c>
      <c r="B762" t="s">
        <v>180</v>
      </c>
      <c r="C762" t="s">
        <v>181</v>
      </c>
      <c r="D762" t="s">
        <v>70</v>
      </c>
      <c r="E762" t="s">
        <v>13</v>
      </c>
      <c r="F762">
        <v>9.9104712859999999</v>
      </c>
      <c r="G762">
        <v>76.364463839999999</v>
      </c>
      <c r="H762">
        <v>1</v>
      </c>
      <c r="I762" t="s">
        <v>14</v>
      </c>
      <c r="J762" t="s">
        <v>174</v>
      </c>
      <c r="K762">
        <f>IF(tbl_ChargingStation[[#This Row],[status]]="Operational",1,0)</f>
        <v>1</v>
      </c>
      <c r="L762">
        <f t="shared" si="22"/>
        <v>1</v>
      </c>
      <c r="M762" t="str">
        <f t="shared" si="23"/>
        <v>Kerala</v>
      </c>
    </row>
    <row r="763" spans="1:13">
      <c r="A763">
        <v>478859</v>
      </c>
      <c r="B763" t="s">
        <v>182</v>
      </c>
      <c r="C763" t="s">
        <v>183</v>
      </c>
      <c r="D763" t="s">
        <v>70</v>
      </c>
      <c r="E763" t="s">
        <v>13</v>
      </c>
      <c r="F763">
        <v>9.9331916210000006</v>
      </c>
      <c r="G763">
        <v>76.300049450000003</v>
      </c>
      <c r="H763">
        <v>1</v>
      </c>
      <c r="I763" t="s">
        <v>14</v>
      </c>
      <c r="J763" t="s">
        <v>174</v>
      </c>
      <c r="K763">
        <f>IF(tbl_ChargingStation[[#This Row],[status]]="Operational",1,0)</f>
        <v>1</v>
      </c>
      <c r="L763">
        <f t="shared" si="22"/>
        <v>1</v>
      </c>
      <c r="M763" t="str">
        <f t="shared" si="23"/>
        <v>Kerala</v>
      </c>
    </row>
    <row r="764" spans="1:13">
      <c r="A764">
        <v>478857</v>
      </c>
      <c r="B764" t="s">
        <v>186</v>
      </c>
      <c r="C764" t="s">
        <v>187</v>
      </c>
      <c r="D764" t="s">
        <v>70</v>
      </c>
      <c r="E764" t="s">
        <v>13</v>
      </c>
      <c r="F764">
        <v>8.4947167140000008</v>
      </c>
      <c r="G764">
        <v>76.952310179999998</v>
      </c>
      <c r="H764">
        <v>1</v>
      </c>
      <c r="I764" t="s">
        <v>41</v>
      </c>
      <c r="J764" t="s">
        <v>174</v>
      </c>
      <c r="K764">
        <f>IF(tbl_ChargingStation[[#This Row],[status]]="Operational",1,0)</f>
        <v>0</v>
      </c>
      <c r="L764">
        <f t="shared" si="22"/>
        <v>0</v>
      </c>
      <c r="M764" t="str">
        <f t="shared" si="23"/>
        <v>Kerala</v>
      </c>
    </row>
    <row r="765" spans="1:13">
      <c r="A765">
        <v>478856</v>
      </c>
      <c r="B765" t="s">
        <v>188</v>
      </c>
      <c r="C765" t="s">
        <v>12</v>
      </c>
      <c r="D765" t="s">
        <v>70</v>
      </c>
      <c r="E765" t="s">
        <v>13</v>
      </c>
      <c r="F765">
        <v>8.4932840289999998</v>
      </c>
      <c r="G765">
        <v>76.9573161</v>
      </c>
      <c r="H765">
        <v>1</v>
      </c>
      <c r="I765" t="s">
        <v>41</v>
      </c>
      <c r="J765" t="s">
        <v>174</v>
      </c>
      <c r="K765">
        <f>IF(tbl_ChargingStation[[#This Row],[status]]="Operational",1,0)</f>
        <v>0</v>
      </c>
      <c r="L765">
        <f t="shared" si="22"/>
        <v>0</v>
      </c>
      <c r="M765" t="str">
        <f t="shared" si="23"/>
        <v>Kerala</v>
      </c>
    </row>
    <row r="766" spans="1:13">
      <c r="A766">
        <v>475680</v>
      </c>
      <c r="B766" t="s">
        <v>214</v>
      </c>
      <c r="C766" t="s">
        <v>215</v>
      </c>
      <c r="D766" t="s">
        <v>216</v>
      </c>
      <c r="E766" t="s">
        <v>13</v>
      </c>
      <c r="F766">
        <v>17.63735819</v>
      </c>
      <c r="G766">
        <v>74.012178070000004</v>
      </c>
      <c r="H766">
        <v>1</v>
      </c>
      <c r="I766" t="s">
        <v>14</v>
      </c>
      <c r="J766" t="s">
        <v>139</v>
      </c>
      <c r="K766">
        <f>IF(tbl_ChargingStation[[#This Row],[status]]="Operational",1,0)</f>
        <v>1</v>
      </c>
      <c r="L766">
        <f t="shared" si="22"/>
        <v>1</v>
      </c>
      <c r="M766" t="str">
        <f t="shared" si="23"/>
        <v>Maharashtra</v>
      </c>
    </row>
    <row r="767" spans="1:13">
      <c r="A767">
        <v>474596</v>
      </c>
      <c r="B767" t="s">
        <v>236</v>
      </c>
      <c r="C767" t="s">
        <v>237</v>
      </c>
      <c r="D767" t="s">
        <v>70</v>
      </c>
      <c r="E767" t="s">
        <v>13</v>
      </c>
      <c r="F767">
        <v>12.149897989999999</v>
      </c>
      <c r="G767">
        <v>75.212636639999999</v>
      </c>
      <c r="H767">
        <v>1</v>
      </c>
      <c r="I767" t="s">
        <v>14</v>
      </c>
      <c r="J767" t="s">
        <v>174</v>
      </c>
      <c r="K767">
        <f>IF(tbl_ChargingStation[[#This Row],[status]]="Operational",1,0)</f>
        <v>1</v>
      </c>
      <c r="L767">
        <f t="shared" si="22"/>
        <v>1</v>
      </c>
      <c r="M767" t="str">
        <f t="shared" si="23"/>
        <v>Kerala</v>
      </c>
    </row>
    <row r="768" spans="1:13">
      <c r="A768">
        <v>474594</v>
      </c>
      <c r="B768" t="s">
        <v>240</v>
      </c>
      <c r="C768" t="s">
        <v>241</v>
      </c>
      <c r="D768" t="s">
        <v>70</v>
      </c>
      <c r="E768" t="s">
        <v>13</v>
      </c>
      <c r="F768">
        <v>11.91670442</v>
      </c>
      <c r="G768">
        <v>75.358304430000004</v>
      </c>
      <c r="H768">
        <v>1</v>
      </c>
      <c r="I768" t="s">
        <v>14</v>
      </c>
      <c r="J768" t="s">
        <v>174</v>
      </c>
      <c r="K768">
        <f>IF(tbl_ChargingStation[[#This Row],[status]]="Operational",1,0)</f>
        <v>1</v>
      </c>
      <c r="L768">
        <f t="shared" si="22"/>
        <v>1</v>
      </c>
      <c r="M768" t="str">
        <f t="shared" si="23"/>
        <v>Kerala</v>
      </c>
    </row>
    <row r="769" spans="1:13">
      <c r="A769">
        <v>474592</v>
      </c>
      <c r="B769" t="s">
        <v>244</v>
      </c>
      <c r="C769" t="s">
        <v>245</v>
      </c>
      <c r="D769" t="s">
        <v>70</v>
      </c>
      <c r="E769" t="s">
        <v>13</v>
      </c>
      <c r="F769">
        <v>11.66781267</v>
      </c>
      <c r="G769">
        <v>76.079469970000005</v>
      </c>
      <c r="H769">
        <v>1</v>
      </c>
      <c r="I769" t="s">
        <v>14</v>
      </c>
      <c r="J769" t="s">
        <v>174</v>
      </c>
      <c r="K769">
        <f>IF(tbl_ChargingStation[[#This Row],[status]]="Operational",1,0)</f>
        <v>1</v>
      </c>
      <c r="L769">
        <f t="shared" si="22"/>
        <v>1</v>
      </c>
      <c r="M769" t="str">
        <f t="shared" si="23"/>
        <v>Kerala</v>
      </c>
    </row>
    <row r="770" spans="1:13">
      <c r="A770">
        <v>474589</v>
      </c>
      <c r="B770" t="s">
        <v>246</v>
      </c>
      <c r="C770" t="s">
        <v>247</v>
      </c>
      <c r="D770" t="s">
        <v>70</v>
      </c>
      <c r="E770" t="s">
        <v>13</v>
      </c>
      <c r="F770">
        <v>11.446514860000001</v>
      </c>
      <c r="G770">
        <v>75.772620219999993</v>
      </c>
      <c r="H770">
        <v>1</v>
      </c>
      <c r="I770" t="s">
        <v>14</v>
      </c>
      <c r="J770" t="s">
        <v>174</v>
      </c>
      <c r="K770">
        <f>IF(tbl_ChargingStation[[#This Row],[status]]="Operational",1,0)</f>
        <v>1</v>
      </c>
      <c r="L770">
        <f t="shared" ref="L770:L833" si="24">H770*K770</f>
        <v>1</v>
      </c>
      <c r="M770" t="str">
        <f t="shared" ref="M770:M833" si="25">IF(D770="GJ","Gujarat",IF(OR(D770="Keral",D770="Keraka",D770="Lerala"),"Kerala",IF(D770="MH","Maharashtra",IF(D770="MP","Madhya Pradesh",IF(D770="RJ","Rajasthan",IF(D770="TAMILNADU","Tamil Nadu",IF(D770="Uttarakhnad","Uttarakhand",D770)))))))</f>
        <v>Kerala</v>
      </c>
    </row>
    <row r="771" spans="1:13">
      <c r="A771">
        <v>474587</v>
      </c>
      <c r="B771" t="s">
        <v>248</v>
      </c>
      <c r="C771" t="s">
        <v>249</v>
      </c>
      <c r="D771" t="s">
        <v>12</v>
      </c>
      <c r="E771" t="s">
        <v>13</v>
      </c>
      <c r="F771">
        <v>11.382129900000001</v>
      </c>
      <c r="G771">
        <v>75.736611859999996</v>
      </c>
      <c r="H771">
        <v>1</v>
      </c>
      <c r="I771" t="s">
        <v>14</v>
      </c>
      <c r="J771" t="s">
        <v>174</v>
      </c>
      <c r="K771">
        <f>IF(tbl_ChargingStation[[#This Row],[status]]="Operational",1,0)</f>
        <v>1</v>
      </c>
      <c r="L771">
        <f t="shared" si="24"/>
        <v>1</v>
      </c>
      <c r="M771" t="str">
        <f t="shared" si="25"/>
        <v>Unknown</v>
      </c>
    </row>
    <row r="772" spans="1:13">
      <c r="A772">
        <v>474584</v>
      </c>
      <c r="B772" t="s">
        <v>252</v>
      </c>
      <c r="C772" t="s">
        <v>197</v>
      </c>
      <c r="D772" t="s">
        <v>70</v>
      </c>
      <c r="E772" t="s">
        <v>13</v>
      </c>
      <c r="F772">
        <v>11.30428543</v>
      </c>
      <c r="G772">
        <v>75.759578919999996</v>
      </c>
      <c r="H772">
        <v>1</v>
      </c>
      <c r="I772" t="s">
        <v>14</v>
      </c>
      <c r="J772" t="s">
        <v>174</v>
      </c>
      <c r="K772">
        <f>IF(tbl_ChargingStation[[#This Row],[status]]="Operational",1,0)</f>
        <v>1</v>
      </c>
      <c r="L772">
        <f t="shared" si="24"/>
        <v>1</v>
      </c>
      <c r="M772" t="str">
        <f t="shared" si="25"/>
        <v>Kerala</v>
      </c>
    </row>
    <row r="773" spans="1:13">
      <c r="A773">
        <v>474575</v>
      </c>
      <c r="B773" t="s">
        <v>260</v>
      </c>
      <c r="C773" t="s">
        <v>261</v>
      </c>
      <c r="D773" t="s">
        <v>70</v>
      </c>
      <c r="E773" t="s">
        <v>13</v>
      </c>
      <c r="F773">
        <v>10.950358140000001</v>
      </c>
      <c r="G773">
        <v>76.163236710000007</v>
      </c>
      <c r="H773">
        <v>1</v>
      </c>
      <c r="I773" t="s">
        <v>14</v>
      </c>
      <c r="J773" t="s">
        <v>174</v>
      </c>
      <c r="K773">
        <f>IF(tbl_ChargingStation[[#This Row],[status]]="Operational",1,0)</f>
        <v>1</v>
      </c>
      <c r="L773">
        <f t="shared" si="24"/>
        <v>1</v>
      </c>
      <c r="M773" t="str">
        <f t="shared" si="25"/>
        <v>Kerala</v>
      </c>
    </row>
    <row r="774" spans="1:13">
      <c r="A774">
        <v>474574</v>
      </c>
      <c r="B774" t="s">
        <v>262</v>
      </c>
      <c r="C774" t="s">
        <v>117</v>
      </c>
      <c r="D774" t="s">
        <v>70</v>
      </c>
      <c r="E774" t="s">
        <v>13</v>
      </c>
      <c r="F774">
        <v>10.886313619999999</v>
      </c>
      <c r="G774">
        <v>75.930574329999999</v>
      </c>
      <c r="H774">
        <v>1</v>
      </c>
      <c r="I774" t="s">
        <v>14</v>
      </c>
      <c r="J774" t="s">
        <v>174</v>
      </c>
      <c r="K774">
        <f>IF(tbl_ChargingStation[[#This Row],[status]]="Operational",1,0)</f>
        <v>1</v>
      </c>
      <c r="L774">
        <f t="shared" si="24"/>
        <v>1</v>
      </c>
      <c r="M774" t="str">
        <f t="shared" si="25"/>
        <v>Kerala</v>
      </c>
    </row>
    <row r="775" spans="1:13">
      <c r="A775">
        <v>474573</v>
      </c>
      <c r="B775" t="s">
        <v>263</v>
      </c>
      <c r="C775" t="s">
        <v>264</v>
      </c>
      <c r="D775" t="s">
        <v>70</v>
      </c>
      <c r="E775" t="s">
        <v>13</v>
      </c>
      <c r="F775">
        <v>10.764893860000001</v>
      </c>
      <c r="G775">
        <v>76.651994279999997</v>
      </c>
      <c r="H775">
        <v>1</v>
      </c>
      <c r="I775" t="s">
        <v>14</v>
      </c>
      <c r="J775" t="s">
        <v>174</v>
      </c>
      <c r="K775">
        <f>IF(tbl_ChargingStation[[#This Row],[status]]="Operational",1,0)</f>
        <v>1</v>
      </c>
      <c r="L775">
        <f t="shared" si="24"/>
        <v>1</v>
      </c>
      <c r="M775" t="str">
        <f t="shared" si="25"/>
        <v>Kerala</v>
      </c>
    </row>
    <row r="776" spans="1:13">
      <c r="A776">
        <v>474565</v>
      </c>
      <c r="B776" t="s">
        <v>273</v>
      </c>
      <c r="C776" t="s">
        <v>274</v>
      </c>
      <c r="D776" t="s">
        <v>70</v>
      </c>
      <c r="E776" t="s">
        <v>13</v>
      </c>
      <c r="F776">
        <v>10.416437869999999</v>
      </c>
      <c r="G776">
        <v>76.153674789999997</v>
      </c>
      <c r="H776">
        <v>1</v>
      </c>
      <c r="I776" t="s">
        <v>14</v>
      </c>
      <c r="J776" t="s">
        <v>174</v>
      </c>
      <c r="K776">
        <f>IF(tbl_ChargingStation[[#This Row],[status]]="Operational",1,0)</f>
        <v>1</v>
      </c>
      <c r="L776">
        <f t="shared" si="24"/>
        <v>1</v>
      </c>
      <c r="M776" t="str">
        <f t="shared" si="25"/>
        <v>Kerala</v>
      </c>
    </row>
    <row r="777" spans="1:13">
      <c r="A777">
        <v>474564</v>
      </c>
      <c r="B777" t="s">
        <v>275</v>
      </c>
      <c r="C777" t="s">
        <v>276</v>
      </c>
      <c r="D777" t="s">
        <v>70</v>
      </c>
      <c r="E777" t="s">
        <v>13</v>
      </c>
      <c r="F777">
        <v>10.58405552</v>
      </c>
      <c r="G777">
        <v>76.435817420000006</v>
      </c>
      <c r="H777">
        <v>1</v>
      </c>
      <c r="I777" t="s">
        <v>14</v>
      </c>
      <c r="J777" t="s">
        <v>174</v>
      </c>
      <c r="K777">
        <f>IF(tbl_ChargingStation[[#This Row],[status]]="Operational",1,0)</f>
        <v>1</v>
      </c>
      <c r="L777">
        <f t="shared" si="24"/>
        <v>1</v>
      </c>
      <c r="M777" t="str">
        <f t="shared" si="25"/>
        <v>Kerala</v>
      </c>
    </row>
    <row r="778" spans="1:13">
      <c r="A778">
        <v>474562</v>
      </c>
      <c r="B778" t="s">
        <v>279</v>
      </c>
      <c r="C778" t="s">
        <v>278</v>
      </c>
      <c r="D778" t="s">
        <v>70</v>
      </c>
      <c r="E778" t="s">
        <v>13</v>
      </c>
      <c r="F778">
        <v>10.539559649999999</v>
      </c>
      <c r="G778">
        <v>76.253916840000002</v>
      </c>
      <c r="H778">
        <v>1</v>
      </c>
      <c r="I778" t="s">
        <v>14</v>
      </c>
      <c r="J778" t="s">
        <v>174</v>
      </c>
      <c r="K778">
        <f>IF(tbl_ChargingStation[[#This Row],[status]]="Operational",1,0)</f>
        <v>1</v>
      </c>
      <c r="L778">
        <f t="shared" si="24"/>
        <v>1</v>
      </c>
      <c r="M778" t="str">
        <f t="shared" si="25"/>
        <v>Kerala</v>
      </c>
    </row>
    <row r="779" spans="1:13">
      <c r="A779">
        <v>474560</v>
      </c>
      <c r="B779" t="s">
        <v>281</v>
      </c>
      <c r="C779" t="s">
        <v>282</v>
      </c>
      <c r="D779" t="s">
        <v>70</v>
      </c>
      <c r="E779" t="s">
        <v>13</v>
      </c>
      <c r="F779">
        <v>10.155044699999999</v>
      </c>
      <c r="G779">
        <v>76.280933919999995</v>
      </c>
      <c r="H779">
        <v>1</v>
      </c>
      <c r="I779" t="s">
        <v>14</v>
      </c>
      <c r="J779" t="s">
        <v>174</v>
      </c>
      <c r="K779">
        <f>IF(tbl_ChargingStation[[#This Row],[status]]="Operational",1,0)</f>
        <v>1</v>
      </c>
      <c r="L779">
        <f t="shared" si="24"/>
        <v>1</v>
      </c>
      <c r="M779" t="str">
        <f t="shared" si="25"/>
        <v>Kerala</v>
      </c>
    </row>
    <row r="780" spans="1:13">
      <c r="A780">
        <v>474557</v>
      </c>
      <c r="B780" t="s">
        <v>287</v>
      </c>
      <c r="C780" t="s">
        <v>288</v>
      </c>
      <c r="D780" t="s">
        <v>70</v>
      </c>
      <c r="E780" t="s">
        <v>13</v>
      </c>
      <c r="F780">
        <v>9.9592240220000008</v>
      </c>
      <c r="G780">
        <v>76.314190210000007</v>
      </c>
      <c r="H780">
        <v>1</v>
      </c>
      <c r="I780" t="s">
        <v>14</v>
      </c>
      <c r="J780" t="s">
        <v>174</v>
      </c>
      <c r="K780">
        <f>IF(tbl_ChargingStation[[#This Row],[status]]="Operational",1,0)</f>
        <v>1</v>
      </c>
      <c r="L780">
        <f t="shared" si="24"/>
        <v>1</v>
      </c>
      <c r="M780" t="str">
        <f t="shared" si="25"/>
        <v>Kerala</v>
      </c>
    </row>
    <row r="781" spans="1:13">
      <c r="A781">
        <v>474556</v>
      </c>
      <c r="B781" t="s">
        <v>289</v>
      </c>
      <c r="C781" t="s">
        <v>290</v>
      </c>
      <c r="D781" t="s">
        <v>70</v>
      </c>
      <c r="E781" t="s">
        <v>13</v>
      </c>
      <c r="F781">
        <v>9.9387199810000002</v>
      </c>
      <c r="G781">
        <v>76.318309159999998</v>
      </c>
      <c r="H781">
        <v>1</v>
      </c>
      <c r="I781" t="s">
        <v>14</v>
      </c>
      <c r="J781" t="s">
        <v>174</v>
      </c>
      <c r="K781">
        <f>IF(tbl_ChargingStation[[#This Row],[status]]="Operational",1,0)</f>
        <v>1</v>
      </c>
      <c r="L781">
        <f t="shared" si="24"/>
        <v>1</v>
      </c>
      <c r="M781" t="str">
        <f t="shared" si="25"/>
        <v>Kerala</v>
      </c>
    </row>
    <row r="782" spans="1:13">
      <c r="A782">
        <v>474554</v>
      </c>
      <c r="B782" t="s">
        <v>293</v>
      </c>
      <c r="C782" t="s">
        <v>294</v>
      </c>
      <c r="D782" t="s">
        <v>70</v>
      </c>
      <c r="E782" t="s">
        <v>13</v>
      </c>
      <c r="F782">
        <v>10.01677286</v>
      </c>
      <c r="G782">
        <v>76.50315707</v>
      </c>
      <c r="H782">
        <v>1</v>
      </c>
      <c r="I782" t="s">
        <v>14</v>
      </c>
      <c r="J782" t="s">
        <v>174</v>
      </c>
      <c r="K782">
        <f>IF(tbl_ChargingStation[[#This Row],[status]]="Operational",1,0)</f>
        <v>1</v>
      </c>
      <c r="L782">
        <f t="shared" si="24"/>
        <v>1</v>
      </c>
      <c r="M782" t="str">
        <f t="shared" si="25"/>
        <v>Kerala</v>
      </c>
    </row>
    <row r="783" spans="1:13">
      <c r="A783">
        <v>474552</v>
      </c>
      <c r="B783" t="s">
        <v>297</v>
      </c>
      <c r="C783" t="s">
        <v>298</v>
      </c>
      <c r="D783" t="s">
        <v>70</v>
      </c>
      <c r="E783" t="s">
        <v>13</v>
      </c>
      <c r="F783">
        <v>9.9356134669999996</v>
      </c>
      <c r="G783">
        <v>76.575501970000005</v>
      </c>
      <c r="H783">
        <v>1</v>
      </c>
      <c r="I783" t="s">
        <v>14</v>
      </c>
      <c r="J783" t="s">
        <v>174</v>
      </c>
      <c r="K783">
        <f>IF(tbl_ChargingStation[[#This Row],[status]]="Operational",1,0)</f>
        <v>1</v>
      </c>
      <c r="L783">
        <f t="shared" si="24"/>
        <v>1</v>
      </c>
      <c r="M783" t="str">
        <f t="shared" si="25"/>
        <v>Kerala</v>
      </c>
    </row>
    <row r="784" spans="1:13">
      <c r="A784">
        <v>474548</v>
      </c>
      <c r="B784" t="s">
        <v>302</v>
      </c>
      <c r="C784" t="s">
        <v>77</v>
      </c>
      <c r="D784" t="s">
        <v>70</v>
      </c>
      <c r="E784" t="s">
        <v>13</v>
      </c>
      <c r="F784">
        <v>10.01725794</v>
      </c>
      <c r="G784">
        <v>77.000660310000001</v>
      </c>
      <c r="H784">
        <v>1</v>
      </c>
      <c r="I784" t="s">
        <v>14</v>
      </c>
      <c r="J784" t="s">
        <v>174</v>
      </c>
      <c r="K784">
        <f>IF(tbl_ChargingStation[[#This Row],[status]]="Operational",1,0)</f>
        <v>1</v>
      </c>
      <c r="L784">
        <f t="shared" si="24"/>
        <v>1</v>
      </c>
      <c r="M784" t="str">
        <f t="shared" si="25"/>
        <v>Kerala</v>
      </c>
    </row>
    <row r="785" spans="1:13">
      <c r="A785">
        <v>474547</v>
      </c>
      <c r="B785" t="s">
        <v>303</v>
      </c>
      <c r="C785" t="s">
        <v>304</v>
      </c>
      <c r="D785" t="s">
        <v>70</v>
      </c>
      <c r="E785" t="s">
        <v>13</v>
      </c>
      <c r="F785">
        <v>9.8474662049999999</v>
      </c>
      <c r="G785">
        <v>76.98095644</v>
      </c>
      <c r="H785">
        <v>1</v>
      </c>
      <c r="I785" t="s">
        <v>14</v>
      </c>
      <c r="J785" t="s">
        <v>174</v>
      </c>
      <c r="K785">
        <f>IF(tbl_ChargingStation[[#This Row],[status]]="Operational",1,0)</f>
        <v>1</v>
      </c>
      <c r="L785">
        <f t="shared" si="24"/>
        <v>1</v>
      </c>
      <c r="M785" t="str">
        <f t="shared" si="25"/>
        <v>Kerala</v>
      </c>
    </row>
    <row r="786" spans="1:13">
      <c r="A786">
        <v>474546</v>
      </c>
      <c r="B786" t="s">
        <v>305</v>
      </c>
      <c r="C786" t="s">
        <v>306</v>
      </c>
      <c r="D786" t="s">
        <v>70</v>
      </c>
      <c r="E786" t="s">
        <v>13</v>
      </c>
      <c r="F786">
        <v>9.7508376499999994</v>
      </c>
      <c r="G786">
        <v>77.109185760000003</v>
      </c>
      <c r="H786">
        <v>1</v>
      </c>
      <c r="I786" t="s">
        <v>14</v>
      </c>
      <c r="J786" t="s">
        <v>174</v>
      </c>
      <c r="K786">
        <f>IF(tbl_ChargingStation[[#This Row],[status]]="Operational",1,0)</f>
        <v>1</v>
      </c>
      <c r="L786">
        <f t="shared" si="24"/>
        <v>1</v>
      </c>
      <c r="M786" t="str">
        <f t="shared" si="25"/>
        <v>Kerala</v>
      </c>
    </row>
    <row r="787" spans="1:13">
      <c r="A787">
        <v>474545</v>
      </c>
      <c r="B787" t="s">
        <v>307</v>
      </c>
      <c r="C787" t="s">
        <v>308</v>
      </c>
      <c r="D787" t="s">
        <v>70</v>
      </c>
      <c r="E787" t="s">
        <v>13</v>
      </c>
      <c r="F787">
        <v>9.6888980740000008</v>
      </c>
      <c r="G787">
        <v>76.904448430000002</v>
      </c>
      <c r="H787">
        <v>1</v>
      </c>
      <c r="I787" t="s">
        <v>14</v>
      </c>
      <c r="J787" t="s">
        <v>174</v>
      </c>
      <c r="K787">
        <f>IF(tbl_ChargingStation[[#This Row],[status]]="Operational",1,0)</f>
        <v>1</v>
      </c>
      <c r="L787">
        <f t="shared" si="24"/>
        <v>1</v>
      </c>
      <c r="M787" t="str">
        <f t="shared" si="25"/>
        <v>Kerala</v>
      </c>
    </row>
    <row r="788" spans="1:13">
      <c r="A788">
        <v>474541</v>
      </c>
      <c r="B788" t="s">
        <v>315</v>
      </c>
      <c r="C788" t="s">
        <v>316</v>
      </c>
      <c r="D788" t="s">
        <v>70</v>
      </c>
      <c r="E788" t="s">
        <v>13</v>
      </c>
      <c r="F788">
        <v>9.4784248840000007</v>
      </c>
      <c r="G788">
        <v>76.561479860000006</v>
      </c>
      <c r="H788">
        <v>1</v>
      </c>
      <c r="I788" t="s">
        <v>14</v>
      </c>
      <c r="J788" t="s">
        <v>174</v>
      </c>
      <c r="K788">
        <f>IF(tbl_ChargingStation[[#This Row],[status]]="Operational",1,0)</f>
        <v>1</v>
      </c>
      <c r="L788">
        <f t="shared" si="24"/>
        <v>1</v>
      </c>
      <c r="M788" t="str">
        <f t="shared" si="25"/>
        <v>Kerala</v>
      </c>
    </row>
    <row r="789" spans="1:13">
      <c r="A789">
        <v>474478</v>
      </c>
      <c r="B789" t="s">
        <v>323</v>
      </c>
      <c r="C789" t="s">
        <v>324</v>
      </c>
      <c r="D789" t="s">
        <v>70</v>
      </c>
      <c r="E789" t="s">
        <v>13</v>
      </c>
      <c r="F789">
        <v>9.2110191399999994</v>
      </c>
      <c r="G789">
        <v>76.503142740000001</v>
      </c>
      <c r="H789">
        <v>1</v>
      </c>
      <c r="I789" t="s">
        <v>14</v>
      </c>
      <c r="J789" t="s">
        <v>174</v>
      </c>
      <c r="K789">
        <f>IF(tbl_ChargingStation[[#This Row],[status]]="Operational",1,0)</f>
        <v>1</v>
      </c>
      <c r="L789">
        <f t="shared" si="24"/>
        <v>1</v>
      </c>
      <c r="M789" t="str">
        <f t="shared" si="25"/>
        <v>Kerala</v>
      </c>
    </row>
    <row r="790" spans="1:13">
      <c r="A790">
        <v>474477</v>
      </c>
      <c r="B790" t="s">
        <v>325</v>
      </c>
      <c r="C790" t="s">
        <v>326</v>
      </c>
      <c r="D790" t="s">
        <v>70</v>
      </c>
      <c r="E790" t="s">
        <v>13</v>
      </c>
      <c r="F790">
        <v>9.147193176</v>
      </c>
      <c r="G790">
        <v>76.732401390000007</v>
      </c>
      <c r="H790">
        <v>1</v>
      </c>
      <c r="I790" t="s">
        <v>14</v>
      </c>
      <c r="J790" t="s">
        <v>174</v>
      </c>
      <c r="K790">
        <f>IF(tbl_ChargingStation[[#This Row],[status]]="Operational",1,0)</f>
        <v>1</v>
      </c>
      <c r="L790">
        <f t="shared" si="24"/>
        <v>1</v>
      </c>
      <c r="M790" t="str">
        <f t="shared" si="25"/>
        <v>Kerala</v>
      </c>
    </row>
    <row r="791" spans="1:13">
      <c r="A791">
        <v>474476</v>
      </c>
      <c r="B791" t="s">
        <v>327</v>
      </c>
      <c r="C791" t="s">
        <v>328</v>
      </c>
      <c r="D791" t="s">
        <v>70</v>
      </c>
      <c r="E791" t="s">
        <v>13</v>
      </c>
      <c r="F791">
        <v>9.0672364620000003</v>
      </c>
      <c r="G791">
        <v>76.535885350000001</v>
      </c>
      <c r="H791">
        <v>1</v>
      </c>
      <c r="I791" t="s">
        <v>14</v>
      </c>
      <c r="J791" t="s">
        <v>174</v>
      </c>
      <c r="K791">
        <f>IF(tbl_ChargingStation[[#This Row],[status]]="Operational",1,0)</f>
        <v>1</v>
      </c>
      <c r="L791">
        <f t="shared" si="24"/>
        <v>1</v>
      </c>
      <c r="M791" t="str">
        <f t="shared" si="25"/>
        <v>Kerala</v>
      </c>
    </row>
    <row r="792" spans="1:13">
      <c r="A792">
        <v>474475</v>
      </c>
      <c r="B792" t="s">
        <v>329</v>
      </c>
      <c r="C792" t="s">
        <v>330</v>
      </c>
      <c r="D792" t="s">
        <v>70</v>
      </c>
      <c r="E792" t="s">
        <v>13</v>
      </c>
      <c r="F792">
        <v>9.0461089460000004</v>
      </c>
      <c r="G792">
        <v>76.536683940000003</v>
      </c>
      <c r="H792">
        <v>1</v>
      </c>
      <c r="I792" t="s">
        <v>14</v>
      </c>
      <c r="J792" t="s">
        <v>174</v>
      </c>
      <c r="K792">
        <f>IF(tbl_ChargingStation[[#This Row],[status]]="Operational",1,0)</f>
        <v>1</v>
      </c>
      <c r="L792">
        <f t="shared" si="24"/>
        <v>1</v>
      </c>
      <c r="M792" t="str">
        <f t="shared" si="25"/>
        <v>Kerala</v>
      </c>
    </row>
    <row r="793" spans="1:13">
      <c r="A793">
        <v>474472</v>
      </c>
      <c r="B793" t="s">
        <v>333</v>
      </c>
      <c r="C793" t="s">
        <v>334</v>
      </c>
      <c r="D793" t="s">
        <v>70</v>
      </c>
      <c r="E793" t="s">
        <v>13</v>
      </c>
      <c r="F793">
        <v>9.0264721810000008</v>
      </c>
      <c r="G793">
        <v>76.851901089999998</v>
      </c>
      <c r="H793">
        <v>1</v>
      </c>
      <c r="I793" t="s">
        <v>14</v>
      </c>
      <c r="J793" t="s">
        <v>174</v>
      </c>
      <c r="K793">
        <f>IF(tbl_ChargingStation[[#This Row],[status]]="Operational",1,0)</f>
        <v>1</v>
      </c>
      <c r="L793">
        <f t="shared" si="24"/>
        <v>1</v>
      </c>
      <c r="M793" t="str">
        <f t="shared" si="25"/>
        <v>Kerala</v>
      </c>
    </row>
    <row r="794" spans="1:13">
      <c r="A794">
        <v>474465</v>
      </c>
      <c r="B794" t="s">
        <v>342</v>
      </c>
      <c r="C794" t="s">
        <v>187</v>
      </c>
      <c r="D794" t="s">
        <v>70</v>
      </c>
      <c r="E794" t="s">
        <v>13</v>
      </c>
      <c r="F794">
        <v>8.4944297970000004</v>
      </c>
      <c r="G794">
        <v>76.930072710000005</v>
      </c>
      <c r="H794">
        <v>1</v>
      </c>
      <c r="I794" t="s">
        <v>14</v>
      </c>
      <c r="J794" t="s">
        <v>174</v>
      </c>
      <c r="K794">
        <f>IF(tbl_ChargingStation[[#This Row],[status]]="Operational",1,0)</f>
        <v>1</v>
      </c>
      <c r="L794">
        <f t="shared" si="24"/>
        <v>1</v>
      </c>
      <c r="M794" t="str">
        <f t="shared" si="25"/>
        <v>Kerala</v>
      </c>
    </row>
    <row r="795" spans="1:13">
      <c r="A795">
        <v>474462</v>
      </c>
      <c r="B795" t="s">
        <v>346</v>
      </c>
      <c r="C795" t="s">
        <v>187</v>
      </c>
      <c r="D795" t="s">
        <v>70</v>
      </c>
      <c r="E795" t="s">
        <v>13</v>
      </c>
      <c r="F795">
        <v>8.5785855299999998</v>
      </c>
      <c r="G795">
        <v>76.866476250000005</v>
      </c>
      <c r="H795">
        <v>1</v>
      </c>
      <c r="I795" t="s">
        <v>14</v>
      </c>
      <c r="J795" t="s">
        <v>174</v>
      </c>
      <c r="K795">
        <f>IF(tbl_ChargingStation[[#This Row],[status]]="Operational",1,0)</f>
        <v>1</v>
      </c>
      <c r="L795">
        <f t="shared" si="24"/>
        <v>1</v>
      </c>
      <c r="M795" t="str">
        <f t="shared" si="25"/>
        <v>Kerala</v>
      </c>
    </row>
    <row r="796" spans="1:13">
      <c r="A796">
        <v>474366</v>
      </c>
      <c r="B796" t="s">
        <v>347</v>
      </c>
      <c r="C796" t="s">
        <v>348</v>
      </c>
      <c r="D796" t="s">
        <v>219</v>
      </c>
      <c r="E796" t="s">
        <v>13</v>
      </c>
      <c r="F796">
        <v>22.17015606</v>
      </c>
      <c r="G796">
        <v>73.087612820000004</v>
      </c>
      <c r="H796">
        <v>1</v>
      </c>
      <c r="I796" t="s">
        <v>14</v>
      </c>
      <c r="J796" t="s">
        <v>223</v>
      </c>
      <c r="K796">
        <f>IF(tbl_ChargingStation[[#This Row],[status]]="Operational",1,0)</f>
        <v>1</v>
      </c>
      <c r="L796">
        <f t="shared" si="24"/>
        <v>1</v>
      </c>
      <c r="M796" t="str">
        <f t="shared" si="25"/>
        <v>Gujarat</v>
      </c>
    </row>
    <row r="797" spans="1:13">
      <c r="A797">
        <v>474365</v>
      </c>
      <c r="B797" t="s">
        <v>349</v>
      </c>
      <c r="C797" t="s">
        <v>348</v>
      </c>
      <c r="D797" t="s">
        <v>219</v>
      </c>
      <c r="E797" t="s">
        <v>13</v>
      </c>
      <c r="F797">
        <v>22.180225929999999</v>
      </c>
      <c r="G797">
        <v>73.089908579999999</v>
      </c>
      <c r="H797">
        <v>1</v>
      </c>
      <c r="I797" t="s">
        <v>14</v>
      </c>
      <c r="J797" t="s">
        <v>223</v>
      </c>
      <c r="K797">
        <f>IF(tbl_ChargingStation[[#This Row],[status]]="Operational",1,0)</f>
        <v>1</v>
      </c>
      <c r="L797">
        <f t="shared" si="24"/>
        <v>1</v>
      </c>
      <c r="M797" t="str">
        <f t="shared" si="25"/>
        <v>Gujarat</v>
      </c>
    </row>
    <row r="798" spans="1:13">
      <c r="A798">
        <v>474364</v>
      </c>
      <c r="B798" t="s">
        <v>350</v>
      </c>
      <c r="C798" t="s">
        <v>351</v>
      </c>
      <c r="D798" t="s">
        <v>219</v>
      </c>
      <c r="E798" t="s">
        <v>13</v>
      </c>
      <c r="F798">
        <v>20.740672960000001</v>
      </c>
      <c r="G798">
        <v>73.035601200000002</v>
      </c>
      <c r="H798">
        <v>1</v>
      </c>
      <c r="I798" t="s">
        <v>14</v>
      </c>
      <c r="J798" t="s">
        <v>139</v>
      </c>
      <c r="K798">
        <f>IF(tbl_ChargingStation[[#This Row],[status]]="Operational",1,0)</f>
        <v>1</v>
      </c>
      <c r="L798">
        <f t="shared" si="24"/>
        <v>1</v>
      </c>
      <c r="M798" t="str">
        <f t="shared" si="25"/>
        <v>Gujarat</v>
      </c>
    </row>
    <row r="799" spans="1:13">
      <c r="A799">
        <v>474363</v>
      </c>
      <c r="B799" t="s">
        <v>352</v>
      </c>
      <c r="C799" t="s">
        <v>353</v>
      </c>
      <c r="D799" t="s">
        <v>354</v>
      </c>
      <c r="E799" t="s">
        <v>13</v>
      </c>
      <c r="F799">
        <v>26.697500000000002</v>
      </c>
      <c r="G799">
        <v>91.851200000000006</v>
      </c>
      <c r="H799">
        <v>1</v>
      </c>
      <c r="I799" t="s">
        <v>14</v>
      </c>
      <c r="J799" t="s">
        <v>12</v>
      </c>
      <c r="K799">
        <f>IF(tbl_ChargingStation[[#This Row],[status]]="Operational",1,0)</f>
        <v>1</v>
      </c>
      <c r="L799">
        <f t="shared" si="24"/>
        <v>1</v>
      </c>
      <c r="M799" t="str">
        <f t="shared" si="25"/>
        <v>Assam</v>
      </c>
    </row>
    <row r="800" spans="1:13">
      <c r="A800">
        <v>473117</v>
      </c>
      <c r="B800" t="s">
        <v>359</v>
      </c>
      <c r="C800" t="s">
        <v>360</v>
      </c>
      <c r="D800" t="s">
        <v>225</v>
      </c>
      <c r="E800" t="s">
        <v>13</v>
      </c>
      <c r="F800">
        <v>26.838270569999999</v>
      </c>
      <c r="G800">
        <v>80.853777109999996</v>
      </c>
      <c r="H800">
        <v>1</v>
      </c>
      <c r="I800" t="s">
        <v>14</v>
      </c>
      <c r="J800" t="s">
        <v>358</v>
      </c>
      <c r="K800">
        <f>IF(tbl_ChargingStation[[#This Row],[status]]="Operational",1,0)</f>
        <v>1</v>
      </c>
      <c r="L800">
        <f t="shared" si="24"/>
        <v>1</v>
      </c>
      <c r="M800" t="str">
        <f t="shared" si="25"/>
        <v>Uttar Pradesh</v>
      </c>
    </row>
    <row r="801" spans="1:13">
      <c r="A801">
        <v>473032</v>
      </c>
      <c r="B801" t="s">
        <v>361</v>
      </c>
      <c r="C801" t="s">
        <v>362</v>
      </c>
      <c r="D801" t="s">
        <v>219</v>
      </c>
      <c r="E801" t="s">
        <v>13</v>
      </c>
      <c r="F801">
        <v>22.794234490000001</v>
      </c>
      <c r="G801">
        <v>73.858826260000001</v>
      </c>
      <c r="H801">
        <v>1</v>
      </c>
      <c r="I801" t="s">
        <v>14</v>
      </c>
      <c r="J801" t="s">
        <v>139</v>
      </c>
      <c r="K801">
        <f>IF(tbl_ChargingStation[[#This Row],[status]]="Operational",1,0)</f>
        <v>1</v>
      </c>
      <c r="L801">
        <f t="shared" si="24"/>
        <v>1</v>
      </c>
      <c r="M801" t="str">
        <f t="shared" si="25"/>
        <v>Gujarat</v>
      </c>
    </row>
    <row r="802" spans="1:13">
      <c r="A802">
        <v>473031</v>
      </c>
      <c r="B802" t="s">
        <v>363</v>
      </c>
      <c r="C802" t="s">
        <v>364</v>
      </c>
      <c r="D802" t="s">
        <v>365</v>
      </c>
      <c r="E802" t="s">
        <v>13</v>
      </c>
      <c r="F802">
        <v>23.386513319999999</v>
      </c>
      <c r="G802">
        <v>75.059851280000004</v>
      </c>
      <c r="H802">
        <v>1</v>
      </c>
      <c r="I802" t="s">
        <v>14</v>
      </c>
      <c r="J802" t="s">
        <v>139</v>
      </c>
      <c r="K802">
        <f>IF(tbl_ChargingStation[[#This Row],[status]]="Operational",1,0)</f>
        <v>1</v>
      </c>
      <c r="L802">
        <f t="shared" si="24"/>
        <v>1</v>
      </c>
      <c r="M802" t="str">
        <f t="shared" si="25"/>
        <v>Madhya Pradesh</v>
      </c>
    </row>
    <row r="803" spans="1:13">
      <c r="A803">
        <v>472820</v>
      </c>
      <c r="B803" t="s">
        <v>366</v>
      </c>
      <c r="C803" t="s">
        <v>367</v>
      </c>
      <c r="D803" t="s">
        <v>203</v>
      </c>
      <c r="E803" t="s">
        <v>13</v>
      </c>
      <c r="F803">
        <v>29.886787590000001</v>
      </c>
      <c r="G803">
        <v>73.928230389999996</v>
      </c>
      <c r="H803">
        <v>1</v>
      </c>
      <c r="I803" t="s">
        <v>14</v>
      </c>
      <c r="J803" t="s">
        <v>12</v>
      </c>
      <c r="K803">
        <f>IF(tbl_ChargingStation[[#This Row],[status]]="Operational",1,0)</f>
        <v>1</v>
      </c>
      <c r="L803">
        <f t="shared" si="24"/>
        <v>1</v>
      </c>
      <c r="M803" t="str">
        <f t="shared" si="25"/>
        <v>Rajasthan</v>
      </c>
    </row>
    <row r="804" spans="1:13">
      <c r="A804">
        <v>472808</v>
      </c>
      <c r="B804" t="s">
        <v>371</v>
      </c>
      <c r="C804" t="s">
        <v>372</v>
      </c>
      <c r="D804" t="s">
        <v>225</v>
      </c>
      <c r="E804" t="s">
        <v>13</v>
      </c>
      <c r="F804">
        <v>27.153405339999999</v>
      </c>
      <c r="G804">
        <v>78.070735929999998</v>
      </c>
      <c r="H804">
        <v>1</v>
      </c>
      <c r="I804" t="s">
        <v>14</v>
      </c>
      <c r="J804" t="s">
        <v>201</v>
      </c>
      <c r="K804">
        <f>IF(tbl_ChargingStation[[#This Row],[status]]="Operational",1,0)</f>
        <v>1</v>
      </c>
      <c r="L804">
        <f t="shared" si="24"/>
        <v>1</v>
      </c>
      <c r="M804" t="str">
        <f t="shared" si="25"/>
        <v>Uttar Pradesh</v>
      </c>
    </row>
    <row r="805" spans="1:13">
      <c r="A805">
        <v>472798</v>
      </c>
      <c r="B805" t="s">
        <v>366</v>
      </c>
      <c r="C805" t="s">
        <v>367</v>
      </c>
      <c r="D805" t="s">
        <v>203</v>
      </c>
      <c r="E805" t="s">
        <v>13</v>
      </c>
      <c r="F805">
        <v>29.886991559999998</v>
      </c>
      <c r="G805">
        <v>73.924737930000006</v>
      </c>
      <c r="H805">
        <v>1</v>
      </c>
      <c r="I805" t="s">
        <v>14</v>
      </c>
      <c r="J805" t="s">
        <v>12</v>
      </c>
      <c r="K805">
        <f>IF(tbl_ChargingStation[[#This Row],[status]]="Operational",1,0)</f>
        <v>1</v>
      </c>
      <c r="L805">
        <f t="shared" si="24"/>
        <v>1</v>
      </c>
      <c r="M805" t="str">
        <f t="shared" si="25"/>
        <v>Rajasthan</v>
      </c>
    </row>
    <row r="806" spans="1:13">
      <c r="A806">
        <v>472532</v>
      </c>
      <c r="B806" t="s">
        <v>373</v>
      </c>
      <c r="C806" t="s">
        <v>374</v>
      </c>
      <c r="D806" t="s">
        <v>375</v>
      </c>
      <c r="E806" t="s">
        <v>13</v>
      </c>
      <c r="F806">
        <v>11.04640756</v>
      </c>
      <c r="G806">
        <v>77.079561279999993</v>
      </c>
      <c r="H806">
        <v>1</v>
      </c>
      <c r="I806" t="s">
        <v>14</v>
      </c>
      <c r="J806" t="s">
        <v>12</v>
      </c>
      <c r="K806">
        <f>IF(tbl_ChargingStation[[#This Row],[status]]="Operational",1,0)</f>
        <v>1</v>
      </c>
      <c r="L806">
        <f t="shared" si="24"/>
        <v>1</v>
      </c>
      <c r="M806" t="str">
        <f t="shared" si="25"/>
        <v>Tamil Nadu</v>
      </c>
    </row>
    <row r="807" spans="1:13">
      <c r="A807">
        <v>472508</v>
      </c>
      <c r="B807" t="s">
        <v>376</v>
      </c>
      <c r="C807" t="s">
        <v>12</v>
      </c>
      <c r="D807" t="s">
        <v>357</v>
      </c>
      <c r="E807" t="s">
        <v>13</v>
      </c>
      <c r="F807">
        <v>12.96085047</v>
      </c>
      <c r="G807">
        <v>77.581824740000002</v>
      </c>
      <c r="H807">
        <v>1</v>
      </c>
      <c r="I807" t="s">
        <v>14</v>
      </c>
      <c r="J807" t="s">
        <v>12</v>
      </c>
      <c r="K807">
        <f>IF(tbl_ChargingStation[[#This Row],[status]]="Operational",1,0)</f>
        <v>1</v>
      </c>
      <c r="L807">
        <f t="shared" si="24"/>
        <v>1</v>
      </c>
      <c r="M807" t="str">
        <f t="shared" si="25"/>
        <v>Karnataka</v>
      </c>
    </row>
    <row r="808" spans="1:13">
      <c r="A808">
        <v>472439</v>
      </c>
      <c r="B808" t="s">
        <v>377</v>
      </c>
      <c r="C808" t="s">
        <v>12</v>
      </c>
      <c r="D808" t="s">
        <v>365</v>
      </c>
      <c r="E808" t="s">
        <v>13</v>
      </c>
      <c r="F808">
        <v>21.997785950000001</v>
      </c>
      <c r="G808">
        <v>77.865381830000004</v>
      </c>
      <c r="H808">
        <v>1</v>
      </c>
      <c r="I808" t="s">
        <v>14</v>
      </c>
      <c r="J808" t="s">
        <v>378</v>
      </c>
      <c r="K808">
        <f>IF(tbl_ChargingStation[[#This Row],[status]]="Operational",1,0)</f>
        <v>1</v>
      </c>
      <c r="L808">
        <f t="shared" si="24"/>
        <v>1</v>
      </c>
      <c r="M808" t="str">
        <f t="shared" si="25"/>
        <v>Madhya Pradesh</v>
      </c>
    </row>
    <row r="809" spans="1:13">
      <c r="A809">
        <v>472327</v>
      </c>
      <c r="B809" t="s">
        <v>379</v>
      </c>
      <c r="C809" t="s">
        <v>380</v>
      </c>
      <c r="D809" t="s">
        <v>203</v>
      </c>
      <c r="E809" t="s">
        <v>13</v>
      </c>
      <c r="F809">
        <v>26.378544179999999</v>
      </c>
      <c r="G809">
        <v>76.253276310000004</v>
      </c>
      <c r="H809">
        <v>1</v>
      </c>
      <c r="I809" t="s">
        <v>14</v>
      </c>
      <c r="J809" t="s">
        <v>195</v>
      </c>
      <c r="K809">
        <f>IF(tbl_ChargingStation[[#This Row],[status]]="Operational",1,0)</f>
        <v>1</v>
      </c>
      <c r="L809">
        <f t="shared" si="24"/>
        <v>1</v>
      </c>
      <c r="M809" t="str">
        <f t="shared" si="25"/>
        <v>Rajasthan</v>
      </c>
    </row>
    <row r="810" spans="1:13">
      <c r="A810">
        <v>472326</v>
      </c>
      <c r="B810" t="s">
        <v>381</v>
      </c>
      <c r="C810" t="s">
        <v>382</v>
      </c>
      <c r="D810" t="s">
        <v>203</v>
      </c>
      <c r="E810" t="s">
        <v>13</v>
      </c>
      <c r="F810">
        <v>25.162225670000002</v>
      </c>
      <c r="G810">
        <v>76.166360080000004</v>
      </c>
      <c r="H810">
        <v>1</v>
      </c>
      <c r="I810" t="s">
        <v>14</v>
      </c>
      <c r="J810" t="s">
        <v>383</v>
      </c>
      <c r="K810">
        <f>IF(tbl_ChargingStation[[#This Row],[status]]="Operational",1,0)</f>
        <v>1</v>
      </c>
      <c r="L810">
        <f t="shared" si="24"/>
        <v>1</v>
      </c>
      <c r="M810" t="str">
        <f t="shared" si="25"/>
        <v>Rajasthan</v>
      </c>
    </row>
    <row r="811" spans="1:13">
      <c r="A811">
        <v>471993</v>
      </c>
      <c r="B811" t="s">
        <v>384</v>
      </c>
      <c r="C811" t="s">
        <v>385</v>
      </c>
      <c r="D811" t="s">
        <v>386</v>
      </c>
      <c r="E811" t="s">
        <v>13</v>
      </c>
      <c r="F811">
        <v>21.038975780000001</v>
      </c>
      <c r="G811">
        <v>72.975265410000006</v>
      </c>
      <c r="H811">
        <v>1</v>
      </c>
      <c r="I811" t="s">
        <v>14</v>
      </c>
      <c r="J811" t="s">
        <v>139</v>
      </c>
      <c r="K811">
        <f>IF(tbl_ChargingStation[[#This Row],[status]]="Operational",1,0)</f>
        <v>1</v>
      </c>
      <c r="L811">
        <f t="shared" si="24"/>
        <v>1</v>
      </c>
      <c r="M811" t="str">
        <f t="shared" si="25"/>
        <v>Gujarat</v>
      </c>
    </row>
    <row r="812" spans="1:13">
      <c r="A812">
        <v>471992</v>
      </c>
      <c r="B812" t="s">
        <v>387</v>
      </c>
      <c r="C812" t="s">
        <v>380</v>
      </c>
      <c r="D812" t="s">
        <v>388</v>
      </c>
      <c r="E812" t="s">
        <v>13</v>
      </c>
      <c r="F812">
        <v>26.377358019999999</v>
      </c>
      <c r="G812">
        <v>76.253756670000001</v>
      </c>
      <c r="H812">
        <v>1</v>
      </c>
      <c r="I812" t="s">
        <v>14</v>
      </c>
      <c r="J812" t="s">
        <v>195</v>
      </c>
      <c r="K812">
        <f>IF(tbl_ChargingStation[[#This Row],[status]]="Operational",1,0)</f>
        <v>1</v>
      </c>
      <c r="L812">
        <f t="shared" si="24"/>
        <v>1</v>
      </c>
      <c r="M812" t="str">
        <f t="shared" si="25"/>
        <v>Rajasthan</v>
      </c>
    </row>
    <row r="813" spans="1:13">
      <c r="A813">
        <v>471991</v>
      </c>
      <c r="B813" t="s">
        <v>389</v>
      </c>
      <c r="C813" t="s">
        <v>390</v>
      </c>
      <c r="D813" t="s">
        <v>391</v>
      </c>
      <c r="E813" t="s">
        <v>13</v>
      </c>
      <c r="F813">
        <v>24.34526163</v>
      </c>
      <c r="G813">
        <v>75.678323300000002</v>
      </c>
      <c r="H813">
        <v>1</v>
      </c>
      <c r="I813" t="s">
        <v>14</v>
      </c>
      <c r="J813" t="s">
        <v>392</v>
      </c>
      <c r="K813">
        <f>IF(tbl_ChargingStation[[#This Row],[status]]="Operational",1,0)</f>
        <v>1</v>
      </c>
      <c r="L813">
        <f t="shared" si="24"/>
        <v>1</v>
      </c>
      <c r="M813" t="str">
        <f t="shared" si="25"/>
        <v>Madhya Pradesh</v>
      </c>
    </row>
    <row r="814" spans="1:13">
      <c r="A814">
        <v>471989</v>
      </c>
      <c r="B814" t="s">
        <v>393</v>
      </c>
      <c r="C814" t="s">
        <v>390</v>
      </c>
      <c r="D814" t="s">
        <v>391</v>
      </c>
      <c r="E814" t="s">
        <v>13</v>
      </c>
      <c r="F814">
        <v>24.346875610000001</v>
      </c>
      <c r="G814">
        <v>75.681559660000005</v>
      </c>
      <c r="H814">
        <v>1</v>
      </c>
      <c r="I814" t="s">
        <v>14</v>
      </c>
      <c r="J814" t="s">
        <v>392</v>
      </c>
      <c r="K814">
        <f>IF(tbl_ChargingStation[[#This Row],[status]]="Operational",1,0)</f>
        <v>1</v>
      </c>
      <c r="L814">
        <f t="shared" si="24"/>
        <v>1</v>
      </c>
      <c r="M814" t="str">
        <f t="shared" si="25"/>
        <v>Madhya Pradesh</v>
      </c>
    </row>
    <row r="815" spans="1:13">
      <c r="A815">
        <v>470897</v>
      </c>
      <c r="B815" t="s">
        <v>400</v>
      </c>
      <c r="C815" t="s">
        <v>401</v>
      </c>
      <c r="D815" t="s">
        <v>138</v>
      </c>
      <c r="E815" t="s">
        <v>13</v>
      </c>
      <c r="F815">
        <v>11.044938999999999</v>
      </c>
      <c r="G815">
        <v>78.055860999999993</v>
      </c>
      <c r="H815">
        <v>1</v>
      </c>
      <c r="I815" t="s">
        <v>14</v>
      </c>
      <c r="J815" t="s">
        <v>201</v>
      </c>
      <c r="K815">
        <f>IF(tbl_ChargingStation[[#This Row],[status]]="Operational",1,0)</f>
        <v>1</v>
      </c>
      <c r="L815">
        <f t="shared" si="24"/>
        <v>1</v>
      </c>
      <c r="M815" t="str">
        <f t="shared" si="25"/>
        <v>Tamil Nadu</v>
      </c>
    </row>
    <row r="816" spans="1:13">
      <c r="A816">
        <v>470710</v>
      </c>
      <c r="B816" t="s">
        <v>405</v>
      </c>
      <c r="C816" t="s">
        <v>403</v>
      </c>
      <c r="D816" t="s">
        <v>138</v>
      </c>
      <c r="E816" t="s">
        <v>13</v>
      </c>
      <c r="F816">
        <v>10.9642143</v>
      </c>
      <c r="G816">
        <v>78.046555609999999</v>
      </c>
      <c r="H816">
        <v>1</v>
      </c>
      <c r="I816" t="s">
        <v>14</v>
      </c>
      <c r="J816" t="s">
        <v>406</v>
      </c>
      <c r="K816">
        <f>IF(tbl_ChargingStation[[#This Row],[status]]="Operational",1,0)</f>
        <v>1</v>
      </c>
      <c r="L816">
        <f t="shared" si="24"/>
        <v>1</v>
      </c>
      <c r="M816" t="str">
        <f t="shared" si="25"/>
        <v>Tamil Nadu</v>
      </c>
    </row>
    <row r="817" spans="1:13">
      <c r="A817">
        <v>470709</v>
      </c>
      <c r="B817" t="s">
        <v>407</v>
      </c>
      <c r="C817" t="s">
        <v>403</v>
      </c>
      <c r="D817" t="s">
        <v>138</v>
      </c>
      <c r="E817" t="s">
        <v>13</v>
      </c>
      <c r="F817">
        <v>10.96396171</v>
      </c>
      <c r="G817">
        <v>78.048042050000006</v>
      </c>
      <c r="H817">
        <v>1</v>
      </c>
      <c r="I817" t="s">
        <v>14</v>
      </c>
      <c r="J817" t="s">
        <v>198</v>
      </c>
      <c r="K817">
        <f>IF(tbl_ChargingStation[[#This Row],[status]]="Operational",1,0)</f>
        <v>1</v>
      </c>
      <c r="L817">
        <f t="shared" si="24"/>
        <v>1</v>
      </c>
      <c r="M817" t="str">
        <f t="shared" si="25"/>
        <v>Tamil Nadu</v>
      </c>
    </row>
    <row r="818" spans="1:13">
      <c r="A818">
        <v>469517</v>
      </c>
      <c r="B818" t="s">
        <v>414</v>
      </c>
      <c r="C818" t="s">
        <v>415</v>
      </c>
      <c r="D818" t="s">
        <v>416</v>
      </c>
      <c r="E818" t="s">
        <v>13</v>
      </c>
      <c r="F818">
        <v>28.63324209</v>
      </c>
      <c r="G818">
        <v>77.224946209999999</v>
      </c>
      <c r="H818">
        <v>1</v>
      </c>
      <c r="I818" t="s">
        <v>14</v>
      </c>
      <c r="J818" t="s">
        <v>417</v>
      </c>
      <c r="K818">
        <f>IF(tbl_ChargingStation[[#This Row],[status]]="Operational",1,0)</f>
        <v>1</v>
      </c>
      <c r="L818">
        <f t="shared" si="24"/>
        <v>1</v>
      </c>
      <c r="M818" t="str">
        <f t="shared" si="25"/>
        <v>New Dehi</v>
      </c>
    </row>
    <row r="819" spans="1:13">
      <c r="A819">
        <v>469488</v>
      </c>
      <c r="B819" t="s">
        <v>418</v>
      </c>
      <c r="C819" t="s">
        <v>413</v>
      </c>
      <c r="D819" t="s">
        <v>386</v>
      </c>
      <c r="E819" t="s">
        <v>13</v>
      </c>
      <c r="F819">
        <v>22.288523229999999</v>
      </c>
      <c r="G819">
        <v>73.132098560000003</v>
      </c>
      <c r="H819">
        <v>1</v>
      </c>
      <c r="I819" t="s">
        <v>14</v>
      </c>
      <c r="J819" t="s">
        <v>195</v>
      </c>
      <c r="K819">
        <f>IF(tbl_ChargingStation[[#This Row],[status]]="Operational",1,0)</f>
        <v>1</v>
      </c>
      <c r="L819">
        <f t="shared" si="24"/>
        <v>1</v>
      </c>
      <c r="M819" t="str">
        <f t="shared" si="25"/>
        <v>Gujarat</v>
      </c>
    </row>
    <row r="820" spans="1:13">
      <c r="A820">
        <v>469384</v>
      </c>
      <c r="B820" t="s">
        <v>421</v>
      </c>
      <c r="C820" t="s">
        <v>422</v>
      </c>
      <c r="D820" t="s">
        <v>423</v>
      </c>
      <c r="E820" t="s">
        <v>13</v>
      </c>
      <c r="F820">
        <v>29.176436519999999</v>
      </c>
      <c r="G820">
        <v>79.496409459999995</v>
      </c>
      <c r="H820">
        <v>1</v>
      </c>
      <c r="I820" t="s">
        <v>14</v>
      </c>
      <c r="J820" t="s">
        <v>12</v>
      </c>
      <c r="K820">
        <f>IF(tbl_ChargingStation[[#This Row],[status]]="Operational",1,0)</f>
        <v>1</v>
      </c>
      <c r="L820">
        <f t="shared" si="24"/>
        <v>1</v>
      </c>
      <c r="M820" t="str">
        <f t="shared" si="25"/>
        <v>Uttarakhand</v>
      </c>
    </row>
    <row r="821" spans="1:13">
      <c r="A821">
        <v>469383</v>
      </c>
      <c r="B821" t="s">
        <v>424</v>
      </c>
      <c r="C821" t="s">
        <v>422</v>
      </c>
      <c r="D821" t="s">
        <v>423</v>
      </c>
      <c r="E821" t="s">
        <v>13</v>
      </c>
      <c r="F821">
        <v>29.224177449999999</v>
      </c>
      <c r="G821">
        <v>79.501043370000005</v>
      </c>
      <c r="H821">
        <v>1</v>
      </c>
      <c r="I821" t="s">
        <v>425</v>
      </c>
      <c r="J821" t="s">
        <v>12</v>
      </c>
      <c r="K821">
        <f>IF(tbl_ChargingStation[[#This Row],[status]]="Operational",1,0)</f>
        <v>0</v>
      </c>
      <c r="L821">
        <f t="shared" si="24"/>
        <v>0</v>
      </c>
      <c r="M821" t="str">
        <f t="shared" si="25"/>
        <v>Uttarakhand</v>
      </c>
    </row>
    <row r="822" spans="1:13">
      <c r="A822">
        <v>469382</v>
      </c>
      <c r="B822" t="s">
        <v>426</v>
      </c>
      <c r="C822" t="s">
        <v>422</v>
      </c>
      <c r="D822" t="s">
        <v>423</v>
      </c>
      <c r="E822" t="s">
        <v>13</v>
      </c>
      <c r="F822">
        <v>29.245389719999999</v>
      </c>
      <c r="G822">
        <v>79.535971709999998</v>
      </c>
      <c r="H822">
        <v>1</v>
      </c>
      <c r="I822" t="s">
        <v>14</v>
      </c>
      <c r="J822" t="s">
        <v>139</v>
      </c>
      <c r="K822">
        <f>IF(tbl_ChargingStation[[#This Row],[status]]="Operational",1,0)</f>
        <v>1</v>
      </c>
      <c r="L822">
        <f t="shared" si="24"/>
        <v>1</v>
      </c>
      <c r="M822" t="str">
        <f t="shared" si="25"/>
        <v>Uttarakhand</v>
      </c>
    </row>
    <row r="823" spans="1:13">
      <c r="A823">
        <v>469381</v>
      </c>
      <c r="B823" t="s">
        <v>427</v>
      </c>
      <c r="C823" t="s">
        <v>422</v>
      </c>
      <c r="D823" t="s">
        <v>423</v>
      </c>
      <c r="E823" t="s">
        <v>13</v>
      </c>
      <c r="F823">
        <v>29.21491941</v>
      </c>
      <c r="G823">
        <v>79.527984660000001</v>
      </c>
      <c r="H823">
        <v>1</v>
      </c>
      <c r="I823" t="s">
        <v>14</v>
      </c>
      <c r="J823" t="s">
        <v>12</v>
      </c>
      <c r="K823">
        <f>IF(tbl_ChargingStation[[#This Row],[status]]="Operational",1,0)</f>
        <v>1</v>
      </c>
      <c r="L823">
        <f t="shared" si="24"/>
        <v>1</v>
      </c>
      <c r="M823" t="str">
        <f t="shared" si="25"/>
        <v>Uttarakhand</v>
      </c>
    </row>
    <row r="824" spans="1:13">
      <c r="A824">
        <v>469380</v>
      </c>
      <c r="B824" t="s">
        <v>428</v>
      </c>
      <c r="C824" t="s">
        <v>422</v>
      </c>
      <c r="D824" t="s">
        <v>423</v>
      </c>
      <c r="E824" t="s">
        <v>13</v>
      </c>
      <c r="F824">
        <v>29.186542060000001</v>
      </c>
      <c r="G824">
        <v>79.520842630000004</v>
      </c>
      <c r="H824">
        <v>1</v>
      </c>
      <c r="I824" t="s">
        <v>425</v>
      </c>
      <c r="J824" t="s">
        <v>12</v>
      </c>
      <c r="K824">
        <f>IF(tbl_ChargingStation[[#This Row],[status]]="Operational",1,0)</f>
        <v>0</v>
      </c>
      <c r="L824">
        <f t="shared" si="24"/>
        <v>0</v>
      </c>
      <c r="M824" t="str">
        <f t="shared" si="25"/>
        <v>Uttarakhand</v>
      </c>
    </row>
    <row r="825" spans="1:13">
      <c r="A825">
        <v>469356</v>
      </c>
      <c r="B825" t="s">
        <v>432</v>
      </c>
      <c r="C825" t="s">
        <v>430</v>
      </c>
      <c r="D825" t="s">
        <v>423</v>
      </c>
      <c r="E825" t="s">
        <v>13</v>
      </c>
      <c r="F825">
        <v>29.000382129999998</v>
      </c>
      <c r="G825">
        <v>79.399877380000007</v>
      </c>
      <c r="H825">
        <v>1</v>
      </c>
      <c r="I825" t="s">
        <v>14</v>
      </c>
      <c r="J825" t="s">
        <v>433</v>
      </c>
      <c r="K825">
        <f>IF(tbl_ChargingStation[[#This Row],[status]]="Operational",1,0)</f>
        <v>1</v>
      </c>
      <c r="L825">
        <f t="shared" si="24"/>
        <v>1</v>
      </c>
      <c r="M825" t="str">
        <f t="shared" si="25"/>
        <v>Uttarakhand</v>
      </c>
    </row>
    <row r="826" spans="1:13">
      <c r="A826">
        <v>469355</v>
      </c>
      <c r="B826" t="s">
        <v>434</v>
      </c>
      <c r="C826" t="s">
        <v>430</v>
      </c>
      <c r="D826" t="s">
        <v>423</v>
      </c>
      <c r="E826" t="s">
        <v>13</v>
      </c>
      <c r="F826">
        <v>28.994841569999998</v>
      </c>
      <c r="G826">
        <v>79.400686250000007</v>
      </c>
      <c r="H826">
        <v>1</v>
      </c>
      <c r="I826" t="s">
        <v>14</v>
      </c>
      <c r="J826" t="s">
        <v>201</v>
      </c>
      <c r="K826">
        <f>IF(tbl_ChargingStation[[#This Row],[status]]="Operational",1,0)</f>
        <v>1</v>
      </c>
      <c r="L826">
        <f t="shared" si="24"/>
        <v>1</v>
      </c>
      <c r="M826" t="str">
        <f t="shared" si="25"/>
        <v>Uttarakhand</v>
      </c>
    </row>
    <row r="827" spans="1:13">
      <c r="A827">
        <v>469354</v>
      </c>
      <c r="B827" t="s">
        <v>435</v>
      </c>
      <c r="C827" t="s">
        <v>430</v>
      </c>
      <c r="D827" t="s">
        <v>431</v>
      </c>
      <c r="E827" t="s">
        <v>13</v>
      </c>
      <c r="F827">
        <v>28.97859682</v>
      </c>
      <c r="G827">
        <v>79.400453170000006</v>
      </c>
      <c r="H827">
        <v>1</v>
      </c>
      <c r="I827" t="s">
        <v>14</v>
      </c>
      <c r="J827" t="s">
        <v>201</v>
      </c>
      <c r="K827">
        <f>IF(tbl_ChargingStation[[#This Row],[status]]="Operational",1,0)</f>
        <v>1</v>
      </c>
      <c r="L827">
        <f t="shared" si="24"/>
        <v>1</v>
      </c>
      <c r="M827" t="str">
        <f t="shared" si="25"/>
        <v>Uttarakhand</v>
      </c>
    </row>
    <row r="828" spans="1:13">
      <c r="A828">
        <v>469353</v>
      </c>
      <c r="B828" t="s">
        <v>436</v>
      </c>
      <c r="C828" t="s">
        <v>430</v>
      </c>
      <c r="D828" t="s">
        <v>423</v>
      </c>
      <c r="E828" t="s">
        <v>13</v>
      </c>
      <c r="F828">
        <v>28.975848540000001</v>
      </c>
      <c r="G828">
        <v>79.389542309999996</v>
      </c>
      <c r="H828">
        <v>1</v>
      </c>
      <c r="I828" t="s">
        <v>14</v>
      </c>
      <c r="J828" t="s">
        <v>139</v>
      </c>
      <c r="K828">
        <f>IF(tbl_ChargingStation[[#This Row],[status]]="Operational",1,0)</f>
        <v>1</v>
      </c>
      <c r="L828">
        <f t="shared" si="24"/>
        <v>1</v>
      </c>
      <c r="M828" t="str">
        <f t="shared" si="25"/>
        <v>Uttarakhand</v>
      </c>
    </row>
    <row r="829" spans="1:13">
      <c r="A829">
        <v>464561</v>
      </c>
      <c r="B829" t="s">
        <v>437</v>
      </c>
      <c r="C829" t="s">
        <v>438</v>
      </c>
      <c r="D829" t="s">
        <v>423</v>
      </c>
      <c r="E829" t="s">
        <v>13</v>
      </c>
      <c r="F829">
        <v>28.931216490000001</v>
      </c>
      <c r="G829">
        <v>79.51703689</v>
      </c>
      <c r="H829">
        <v>1</v>
      </c>
      <c r="I829" t="s">
        <v>425</v>
      </c>
      <c r="J829" t="s">
        <v>12</v>
      </c>
      <c r="K829">
        <f>IF(tbl_ChargingStation[[#This Row],[status]]="Operational",1,0)</f>
        <v>0</v>
      </c>
      <c r="L829">
        <f t="shared" si="24"/>
        <v>0</v>
      </c>
      <c r="M829" t="str">
        <f t="shared" si="25"/>
        <v>Uttarakhand</v>
      </c>
    </row>
    <row r="830" spans="1:13">
      <c r="A830">
        <v>464560</v>
      </c>
      <c r="B830" t="s">
        <v>439</v>
      </c>
      <c r="C830" t="s">
        <v>438</v>
      </c>
      <c r="D830" t="s">
        <v>423</v>
      </c>
      <c r="E830" t="s">
        <v>13</v>
      </c>
      <c r="F830">
        <v>28.870833640000001</v>
      </c>
      <c r="G830">
        <v>79.516480049999998</v>
      </c>
      <c r="H830">
        <v>1</v>
      </c>
      <c r="I830" t="s">
        <v>425</v>
      </c>
      <c r="J830" t="s">
        <v>12</v>
      </c>
      <c r="K830">
        <f>IF(tbl_ChargingStation[[#This Row],[status]]="Operational",1,0)</f>
        <v>0</v>
      </c>
      <c r="L830">
        <f t="shared" si="24"/>
        <v>0</v>
      </c>
      <c r="M830" t="str">
        <f t="shared" si="25"/>
        <v>Uttarakhand</v>
      </c>
    </row>
    <row r="831" spans="1:13">
      <c r="A831">
        <v>464559</v>
      </c>
      <c r="B831" t="s">
        <v>440</v>
      </c>
      <c r="C831" t="s">
        <v>438</v>
      </c>
      <c r="D831" t="s">
        <v>423</v>
      </c>
      <c r="E831" t="s">
        <v>13</v>
      </c>
      <c r="F831">
        <v>28.892693950000002</v>
      </c>
      <c r="G831">
        <v>79.509563700000001</v>
      </c>
      <c r="H831">
        <v>1</v>
      </c>
      <c r="I831" t="s">
        <v>425</v>
      </c>
      <c r="J831" t="s">
        <v>12</v>
      </c>
      <c r="K831">
        <f>IF(tbl_ChargingStation[[#This Row],[status]]="Operational",1,0)</f>
        <v>0</v>
      </c>
      <c r="L831">
        <f t="shared" si="24"/>
        <v>0</v>
      </c>
      <c r="M831" t="str">
        <f t="shared" si="25"/>
        <v>Uttarakhand</v>
      </c>
    </row>
    <row r="832" spans="1:13">
      <c r="A832">
        <v>462394</v>
      </c>
      <c r="B832" t="s">
        <v>448</v>
      </c>
      <c r="C832" t="s">
        <v>447</v>
      </c>
      <c r="D832" t="s">
        <v>391</v>
      </c>
      <c r="E832" t="s">
        <v>13</v>
      </c>
      <c r="F832">
        <v>24.841218000000001</v>
      </c>
      <c r="G832">
        <v>79.920955300000003</v>
      </c>
      <c r="H832">
        <v>1</v>
      </c>
      <c r="I832" t="s">
        <v>14</v>
      </c>
      <c r="J832" t="s">
        <v>207</v>
      </c>
      <c r="K832">
        <f>IF(tbl_ChargingStation[[#This Row],[status]]="Operational",1,0)</f>
        <v>1</v>
      </c>
      <c r="L832">
        <f t="shared" si="24"/>
        <v>1</v>
      </c>
      <c r="M832" t="str">
        <f t="shared" si="25"/>
        <v>Madhya Pradesh</v>
      </c>
    </row>
    <row r="833" spans="1:13">
      <c r="A833">
        <v>462380</v>
      </c>
      <c r="B833" t="s">
        <v>449</v>
      </c>
      <c r="C833" t="s">
        <v>450</v>
      </c>
      <c r="D833" t="s">
        <v>391</v>
      </c>
      <c r="E833" t="s">
        <v>13</v>
      </c>
      <c r="F833">
        <v>21.9142364</v>
      </c>
      <c r="G833">
        <v>79.526366589999995</v>
      </c>
      <c r="H833">
        <v>1</v>
      </c>
      <c r="I833" t="s">
        <v>14</v>
      </c>
      <c r="J833" t="s">
        <v>201</v>
      </c>
      <c r="K833">
        <f>IF(tbl_ChargingStation[[#This Row],[status]]="Operational",1,0)</f>
        <v>1</v>
      </c>
      <c r="L833">
        <f t="shared" si="24"/>
        <v>1</v>
      </c>
      <c r="M833" t="str">
        <f t="shared" si="25"/>
        <v>Madhya Pradesh</v>
      </c>
    </row>
    <row r="834" spans="1:13">
      <c r="A834">
        <v>461277</v>
      </c>
      <c r="B834" t="s">
        <v>451</v>
      </c>
      <c r="C834" t="s">
        <v>11</v>
      </c>
      <c r="D834" t="s">
        <v>232</v>
      </c>
      <c r="E834" t="s">
        <v>13</v>
      </c>
      <c r="F834">
        <v>18.503925779999999</v>
      </c>
      <c r="G834">
        <v>73.803734329999997</v>
      </c>
      <c r="H834">
        <v>1</v>
      </c>
      <c r="I834" t="s">
        <v>452</v>
      </c>
      <c r="J834" t="s">
        <v>12</v>
      </c>
      <c r="K834">
        <f>IF(tbl_ChargingStation[[#This Row],[status]]="Operational",1,0)</f>
        <v>0</v>
      </c>
      <c r="L834">
        <f t="shared" ref="L834:L897" si="26">H834*K834</f>
        <v>0</v>
      </c>
      <c r="M834" t="str">
        <f t="shared" ref="M834:M897" si="27">IF(D834="GJ","Gujarat",IF(OR(D834="Keral",D834="Keraka",D834="Lerala"),"Kerala",IF(D834="MH","Maharashtra",IF(D834="MP","Madhya Pradesh",IF(D834="RJ","Rajasthan",IF(D834="TAMILNADU","Tamil Nadu",IF(D834="Uttarakhnad","Uttarakhand",D834)))))))</f>
        <v>Maharashtra</v>
      </c>
    </row>
    <row r="835" spans="1:13">
      <c r="A835">
        <v>461160</v>
      </c>
      <c r="B835" t="s">
        <v>453</v>
      </c>
      <c r="C835" t="s">
        <v>422</v>
      </c>
      <c r="D835" t="s">
        <v>423</v>
      </c>
      <c r="E835" t="s">
        <v>13</v>
      </c>
      <c r="F835">
        <v>29.163754999999998</v>
      </c>
      <c r="G835">
        <v>79.522705999999999</v>
      </c>
      <c r="H835">
        <v>1</v>
      </c>
      <c r="I835" t="s">
        <v>14</v>
      </c>
      <c r="J835" t="s">
        <v>358</v>
      </c>
      <c r="K835">
        <f>IF(tbl_ChargingStation[[#This Row],[status]]="Operational",1,0)</f>
        <v>1</v>
      </c>
      <c r="L835">
        <f t="shared" si="26"/>
        <v>1</v>
      </c>
      <c r="M835" t="str">
        <f t="shared" si="27"/>
        <v>Uttarakhand</v>
      </c>
    </row>
    <row r="836" spans="1:13">
      <c r="A836">
        <v>461021</v>
      </c>
      <c r="B836" t="s">
        <v>454</v>
      </c>
      <c r="C836" t="s">
        <v>455</v>
      </c>
      <c r="D836" t="s">
        <v>456</v>
      </c>
      <c r="E836" t="s">
        <v>13</v>
      </c>
      <c r="F836">
        <v>23.66383145</v>
      </c>
      <c r="G836">
        <v>87.057828110000003</v>
      </c>
      <c r="H836">
        <v>1</v>
      </c>
      <c r="I836" t="s">
        <v>14</v>
      </c>
      <c r="J836" t="s">
        <v>358</v>
      </c>
      <c r="K836">
        <f>IF(tbl_ChargingStation[[#This Row],[status]]="Operational",1,0)</f>
        <v>1</v>
      </c>
      <c r="L836">
        <f t="shared" si="26"/>
        <v>1</v>
      </c>
      <c r="M836" t="str">
        <f t="shared" si="27"/>
        <v>West Bengal</v>
      </c>
    </row>
    <row r="837" spans="1:13">
      <c r="A837">
        <v>461004</v>
      </c>
      <c r="B837" t="s">
        <v>457</v>
      </c>
      <c r="C837" t="s">
        <v>458</v>
      </c>
      <c r="D837" t="s">
        <v>459</v>
      </c>
      <c r="E837" t="s">
        <v>13</v>
      </c>
      <c r="F837">
        <v>23.765173279999999</v>
      </c>
      <c r="G837">
        <v>86.805740189999995</v>
      </c>
      <c r="H837">
        <v>1</v>
      </c>
      <c r="I837" t="s">
        <v>14</v>
      </c>
      <c r="J837" t="s">
        <v>358</v>
      </c>
      <c r="K837">
        <f>IF(tbl_ChargingStation[[#This Row],[status]]="Operational",1,0)</f>
        <v>1</v>
      </c>
      <c r="L837">
        <f t="shared" si="26"/>
        <v>1</v>
      </c>
      <c r="M837" t="str">
        <f t="shared" si="27"/>
        <v>Jharkhand</v>
      </c>
    </row>
    <row r="838" spans="1:13">
      <c r="A838">
        <v>460962</v>
      </c>
      <c r="B838" t="s">
        <v>460</v>
      </c>
      <c r="C838" t="s">
        <v>12</v>
      </c>
      <c r="D838" t="s">
        <v>232</v>
      </c>
      <c r="E838" t="s">
        <v>13</v>
      </c>
      <c r="F838">
        <v>20.634269499999998</v>
      </c>
      <c r="G838">
        <v>78.927315519999993</v>
      </c>
      <c r="H838">
        <v>1</v>
      </c>
      <c r="I838" t="s">
        <v>14</v>
      </c>
      <c r="J838" t="s">
        <v>223</v>
      </c>
      <c r="K838">
        <f>IF(tbl_ChargingStation[[#This Row],[status]]="Operational",1,0)</f>
        <v>1</v>
      </c>
      <c r="L838">
        <f t="shared" si="26"/>
        <v>1</v>
      </c>
      <c r="M838" t="str">
        <f t="shared" si="27"/>
        <v>Maharashtra</v>
      </c>
    </row>
    <row r="839" spans="1:13">
      <c r="A839">
        <v>460960</v>
      </c>
      <c r="B839" t="s">
        <v>461</v>
      </c>
      <c r="C839" t="s">
        <v>462</v>
      </c>
      <c r="D839" t="s">
        <v>459</v>
      </c>
      <c r="E839" t="s">
        <v>13</v>
      </c>
      <c r="F839">
        <v>24.012189830000001</v>
      </c>
      <c r="G839">
        <v>86.033785660000007</v>
      </c>
      <c r="H839">
        <v>1</v>
      </c>
      <c r="I839" t="s">
        <v>14</v>
      </c>
      <c r="J839" t="s">
        <v>358</v>
      </c>
      <c r="K839">
        <f>IF(tbl_ChargingStation[[#This Row],[status]]="Operational",1,0)</f>
        <v>1</v>
      </c>
      <c r="L839">
        <f t="shared" si="26"/>
        <v>1</v>
      </c>
      <c r="M839" t="str">
        <f t="shared" si="27"/>
        <v>Jharkhand</v>
      </c>
    </row>
    <row r="840" spans="1:13">
      <c r="A840">
        <v>460636</v>
      </c>
      <c r="B840" t="s">
        <v>463</v>
      </c>
      <c r="C840" t="s">
        <v>464</v>
      </c>
      <c r="D840" t="s">
        <v>357</v>
      </c>
      <c r="E840" t="s">
        <v>13</v>
      </c>
      <c r="F840">
        <v>13.064573770000001</v>
      </c>
      <c r="G840">
        <v>77.257125160000001</v>
      </c>
      <c r="H840">
        <v>1</v>
      </c>
      <c r="I840" t="s">
        <v>14</v>
      </c>
      <c r="J840" t="s">
        <v>358</v>
      </c>
      <c r="K840">
        <f>IF(tbl_ChargingStation[[#This Row],[status]]="Operational",1,0)</f>
        <v>1</v>
      </c>
      <c r="L840">
        <f t="shared" si="26"/>
        <v>1</v>
      </c>
      <c r="M840" t="str">
        <f t="shared" si="27"/>
        <v>Karnataka</v>
      </c>
    </row>
    <row r="841" spans="1:13">
      <c r="A841">
        <v>460478</v>
      </c>
      <c r="B841" t="s">
        <v>465</v>
      </c>
      <c r="C841" t="s">
        <v>466</v>
      </c>
      <c r="D841" t="s">
        <v>357</v>
      </c>
      <c r="E841" t="s">
        <v>13</v>
      </c>
      <c r="F841">
        <v>12.960134460000001</v>
      </c>
      <c r="G841">
        <v>76.330239059999997</v>
      </c>
      <c r="H841">
        <v>1</v>
      </c>
      <c r="I841" t="s">
        <v>14</v>
      </c>
      <c r="J841" t="s">
        <v>198</v>
      </c>
      <c r="K841">
        <f>IF(tbl_ChargingStation[[#This Row],[status]]="Operational",1,0)</f>
        <v>1</v>
      </c>
      <c r="L841">
        <f t="shared" si="26"/>
        <v>1</v>
      </c>
      <c r="M841" t="str">
        <f t="shared" si="27"/>
        <v>Karnataka</v>
      </c>
    </row>
    <row r="842" spans="1:13">
      <c r="A842">
        <v>460205</v>
      </c>
      <c r="B842" t="s">
        <v>467</v>
      </c>
      <c r="C842" t="s">
        <v>468</v>
      </c>
      <c r="D842" t="s">
        <v>469</v>
      </c>
      <c r="E842" t="s">
        <v>13</v>
      </c>
      <c r="F842">
        <v>21.65144351</v>
      </c>
      <c r="G842">
        <v>87.651399549999994</v>
      </c>
      <c r="H842">
        <v>1</v>
      </c>
      <c r="I842" t="s">
        <v>14</v>
      </c>
      <c r="J842" t="s">
        <v>12</v>
      </c>
      <c r="K842">
        <f>IF(tbl_ChargingStation[[#This Row],[status]]="Operational",1,0)</f>
        <v>1</v>
      </c>
      <c r="L842">
        <f t="shared" si="26"/>
        <v>1</v>
      </c>
      <c r="M842" t="str">
        <f t="shared" si="27"/>
        <v>west bengal</v>
      </c>
    </row>
    <row r="843" spans="1:13">
      <c r="A843">
        <v>458917</v>
      </c>
      <c r="B843" t="s">
        <v>474</v>
      </c>
      <c r="C843" t="s">
        <v>473</v>
      </c>
      <c r="D843" t="s">
        <v>70</v>
      </c>
      <c r="E843" t="s">
        <v>13</v>
      </c>
      <c r="F843">
        <v>10.03915497</v>
      </c>
      <c r="G843">
        <v>76.315558809999999</v>
      </c>
      <c r="H843">
        <v>1</v>
      </c>
      <c r="I843" t="s">
        <v>14</v>
      </c>
      <c r="J843" t="s">
        <v>358</v>
      </c>
      <c r="K843">
        <f>IF(tbl_ChargingStation[[#This Row],[status]]="Operational",1,0)</f>
        <v>1</v>
      </c>
      <c r="L843">
        <f t="shared" si="26"/>
        <v>1</v>
      </c>
      <c r="M843" t="str">
        <f t="shared" si="27"/>
        <v>Kerala</v>
      </c>
    </row>
    <row r="844" spans="1:13">
      <c r="A844">
        <v>458916</v>
      </c>
      <c r="B844" t="s">
        <v>475</v>
      </c>
      <c r="C844" t="s">
        <v>476</v>
      </c>
      <c r="D844" t="s">
        <v>70</v>
      </c>
      <c r="E844" t="s">
        <v>13</v>
      </c>
      <c r="F844">
        <v>10.081302790000001</v>
      </c>
      <c r="G844">
        <v>76.339461990000004</v>
      </c>
      <c r="H844">
        <v>1</v>
      </c>
      <c r="I844" t="s">
        <v>14</v>
      </c>
      <c r="J844" t="s">
        <v>358</v>
      </c>
      <c r="K844">
        <f>IF(tbl_ChargingStation[[#This Row],[status]]="Operational",1,0)</f>
        <v>1</v>
      </c>
      <c r="L844">
        <f t="shared" si="26"/>
        <v>1</v>
      </c>
      <c r="M844" t="str">
        <f t="shared" si="27"/>
        <v>Kerala</v>
      </c>
    </row>
    <row r="845" spans="1:13">
      <c r="A845">
        <v>458915</v>
      </c>
      <c r="B845" t="s">
        <v>477</v>
      </c>
      <c r="C845" t="s">
        <v>478</v>
      </c>
      <c r="D845" t="s">
        <v>70</v>
      </c>
      <c r="E845" t="s">
        <v>13</v>
      </c>
      <c r="F845">
        <v>10.15999504</v>
      </c>
      <c r="G845">
        <v>76.390154219999999</v>
      </c>
      <c r="H845">
        <v>1</v>
      </c>
      <c r="I845" t="s">
        <v>14</v>
      </c>
      <c r="J845" t="s">
        <v>358</v>
      </c>
      <c r="K845">
        <f>IF(tbl_ChargingStation[[#This Row],[status]]="Operational",1,0)</f>
        <v>1</v>
      </c>
      <c r="L845">
        <f t="shared" si="26"/>
        <v>1</v>
      </c>
      <c r="M845" t="str">
        <f t="shared" si="27"/>
        <v>Kerala</v>
      </c>
    </row>
    <row r="846" spans="1:13">
      <c r="A846">
        <v>458914</v>
      </c>
      <c r="B846" t="s">
        <v>479</v>
      </c>
      <c r="C846" t="s">
        <v>478</v>
      </c>
      <c r="D846" t="s">
        <v>70</v>
      </c>
      <c r="E846" t="s">
        <v>13</v>
      </c>
      <c r="F846">
        <v>10.16222425</v>
      </c>
      <c r="G846">
        <v>76.384653499999999</v>
      </c>
      <c r="H846">
        <v>1</v>
      </c>
      <c r="I846" t="s">
        <v>14</v>
      </c>
      <c r="J846" t="s">
        <v>358</v>
      </c>
      <c r="K846">
        <f>IF(tbl_ChargingStation[[#This Row],[status]]="Operational",1,0)</f>
        <v>1</v>
      </c>
      <c r="L846">
        <f t="shared" si="26"/>
        <v>1</v>
      </c>
      <c r="M846" t="str">
        <f t="shared" si="27"/>
        <v>Kerala</v>
      </c>
    </row>
    <row r="847" spans="1:13">
      <c r="A847">
        <v>458913</v>
      </c>
      <c r="B847" t="s">
        <v>480</v>
      </c>
      <c r="C847" t="s">
        <v>481</v>
      </c>
      <c r="D847" t="s">
        <v>70</v>
      </c>
      <c r="E847" t="s">
        <v>13</v>
      </c>
      <c r="F847">
        <v>10.16204205</v>
      </c>
      <c r="G847">
        <v>76.367356029999996</v>
      </c>
      <c r="H847">
        <v>1</v>
      </c>
      <c r="I847" t="s">
        <v>14</v>
      </c>
      <c r="J847" t="s">
        <v>358</v>
      </c>
      <c r="K847">
        <f>IF(tbl_ChargingStation[[#This Row],[status]]="Operational",1,0)</f>
        <v>1</v>
      </c>
      <c r="L847">
        <f t="shared" si="26"/>
        <v>1</v>
      </c>
      <c r="M847" t="str">
        <f t="shared" si="27"/>
        <v>Kerala</v>
      </c>
    </row>
    <row r="848" spans="1:13">
      <c r="A848">
        <v>458912</v>
      </c>
      <c r="B848" t="s">
        <v>482</v>
      </c>
      <c r="C848" t="s">
        <v>483</v>
      </c>
      <c r="D848" t="s">
        <v>70</v>
      </c>
      <c r="E848" t="s">
        <v>13</v>
      </c>
      <c r="F848">
        <v>10.221060359999999</v>
      </c>
      <c r="G848">
        <v>76.37675213</v>
      </c>
      <c r="H848">
        <v>1</v>
      </c>
      <c r="I848" t="s">
        <v>14</v>
      </c>
      <c r="J848" t="s">
        <v>358</v>
      </c>
      <c r="K848">
        <f>IF(tbl_ChargingStation[[#This Row],[status]]="Operational",1,0)</f>
        <v>1</v>
      </c>
      <c r="L848">
        <f t="shared" si="26"/>
        <v>1</v>
      </c>
      <c r="M848" t="str">
        <f t="shared" si="27"/>
        <v>Kerala</v>
      </c>
    </row>
    <row r="849" spans="1:13">
      <c r="A849">
        <v>458911</v>
      </c>
      <c r="B849" t="s">
        <v>484</v>
      </c>
      <c r="C849" t="s">
        <v>105</v>
      </c>
      <c r="D849" t="s">
        <v>70</v>
      </c>
      <c r="E849" t="s">
        <v>13</v>
      </c>
      <c r="F849">
        <v>10.23248948</v>
      </c>
      <c r="G849">
        <v>76.195940219999997</v>
      </c>
      <c r="H849">
        <v>1</v>
      </c>
      <c r="I849" t="s">
        <v>14</v>
      </c>
      <c r="J849" t="s">
        <v>358</v>
      </c>
      <c r="K849">
        <f>IF(tbl_ChargingStation[[#This Row],[status]]="Operational",1,0)</f>
        <v>1</v>
      </c>
      <c r="L849">
        <f t="shared" si="26"/>
        <v>1</v>
      </c>
      <c r="M849" t="str">
        <f t="shared" si="27"/>
        <v>Kerala</v>
      </c>
    </row>
    <row r="850" spans="1:13">
      <c r="A850">
        <v>458909</v>
      </c>
      <c r="B850" t="s">
        <v>486</v>
      </c>
      <c r="C850" t="s">
        <v>487</v>
      </c>
      <c r="D850" t="s">
        <v>70</v>
      </c>
      <c r="E850" t="s">
        <v>13</v>
      </c>
      <c r="F850">
        <v>10.782258199999999</v>
      </c>
      <c r="G850">
        <v>76.658245109999996</v>
      </c>
      <c r="H850">
        <v>1</v>
      </c>
      <c r="I850" t="s">
        <v>14</v>
      </c>
      <c r="J850" t="s">
        <v>358</v>
      </c>
      <c r="K850">
        <f>IF(tbl_ChargingStation[[#This Row],[status]]="Operational",1,0)</f>
        <v>1</v>
      </c>
      <c r="L850">
        <f t="shared" si="26"/>
        <v>1</v>
      </c>
      <c r="M850" t="str">
        <f t="shared" si="27"/>
        <v>Kerala</v>
      </c>
    </row>
    <row r="851" spans="1:13">
      <c r="A851">
        <v>458908</v>
      </c>
      <c r="B851" t="s">
        <v>488</v>
      </c>
      <c r="C851" t="s">
        <v>489</v>
      </c>
      <c r="D851" t="s">
        <v>70</v>
      </c>
      <c r="E851" t="s">
        <v>13</v>
      </c>
      <c r="F851">
        <v>10.4361871</v>
      </c>
      <c r="G851">
        <v>76.265205829999999</v>
      </c>
      <c r="H851">
        <v>1</v>
      </c>
      <c r="I851" t="s">
        <v>14</v>
      </c>
      <c r="J851" t="s">
        <v>358</v>
      </c>
      <c r="K851">
        <f>IF(tbl_ChargingStation[[#This Row],[status]]="Operational",1,0)</f>
        <v>1</v>
      </c>
      <c r="L851">
        <f t="shared" si="26"/>
        <v>1</v>
      </c>
      <c r="M851" t="str">
        <f t="shared" si="27"/>
        <v>Kerala</v>
      </c>
    </row>
    <row r="852" spans="1:13">
      <c r="A852">
        <v>458906</v>
      </c>
      <c r="B852" t="s">
        <v>491</v>
      </c>
      <c r="C852" t="s">
        <v>169</v>
      </c>
      <c r="D852" t="s">
        <v>70</v>
      </c>
      <c r="E852" t="s">
        <v>13</v>
      </c>
      <c r="F852">
        <v>10.522940419999999</v>
      </c>
      <c r="G852">
        <v>76.206247669999996</v>
      </c>
      <c r="H852">
        <v>1</v>
      </c>
      <c r="I852" t="s">
        <v>14</v>
      </c>
      <c r="J852" t="s">
        <v>358</v>
      </c>
      <c r="K852">
        <f>IF(tbl_ChargingStation[[#This Row],[status]]="Operational",1,0)</f>
        <v>1</v>
      </c>
      <c r="L852">
        <f t="shared" si="26"/>
        <v>1</v>
      </c>
      <c r="M852" t="str">
        <f t="shared" si="27"/>
        <v>Kerala</v>
      </c>
    </row>
    <row r="853" spans="1:13">
      <c r="A853">
        <v>314018</v>
      </c>
      <c r="B853" t="s">
        <v>494</v>
      </c>
      <c r="C853" t="s">
        <v>494</v>
      </c>
      <c r="D853" t="s">
        <v>232</v>
      </c>
      <c r="E853" t="s">
        <v>13</v>
      </c>
      <c r="F853">
        <v>19.75759399</v>
      </c>
      <c r="G853">
        <v>74.476347329999996</v>
      </c>
      <c r="H853">
        <v>1</v>
      </c>
      <c r="I853" t="s">
        <v>14</v>
      </c>
      <c r="J853" t="s">
        <v>12</v>
      </c>
      <c r="K853">
        <f>IF(tbl_ChargingStation[[#This Row],[status]]="Operational",1,0)</f>
        <v>1</v>
      </c>
      <c r="L853">
        <f t="shared" si="26"/>
        <v>1</v>
      </c>
      <c r="M853" t="str">
        <f t="shared" si="27"/>
        <v>Maharashtra</v>
      </c>
    </row>
    <row r="854" spans="1:13">
      <c r="A854">
        <v>313995</v>
      </c>
      <c r="B854" t="s">
        <v>495</v>
      </c>
      <c r="C854" t="s">
        <v>259</v>
      </c>
      <c r="D854" t="s">
        <v>70</v>
      </c>
      <c r="E854" t="s">
        <v>13</v>
      </c>
      <c r="F854">
        <v>10.96023797</v>
      </c>
      <c r="G854">
        <v>76.234678810000005</v>
      </c>
      <c r="H854">
        <v>1</v>
      </c>
      <c r="I854" t="s">
        <v>14</v>
      </c>
      <c r="J854" t="s">
        <v>358</v>
      </c>
      <c r="K854">
        <f>IF(tbl_ChargingStation[[#This Row],[status]]="Operational",1,0)</f>
        <v>1</v>
      </c>
      <c r="L854">
        <f t="shared" si="26"/>
        <v>1</v>
      </c>
      <c r="M854" t="str">
        <f t="shared" si="27"/>
        <v>Kerala</v>
      </c>
    </row>
    <row r="855" spans="1:13">
      <c r="A855">
        <v>313994</v>
      </c>
      <c r="B855" t="s">
        <v>496</v>
      </c>
      <c r="C855" t="s">
        <v>259</v>
      </c>
      <c r="D855" t="s">
        <v>70</v>
      </c>
      <c r="E855" t="s">
        <v>13</v>
      </c>
      <c r="F855">
        <v>10.98450272</v>
      </c>
      <c r="G855">
        <v>76.187847009999999</v>
      </c>
      <c r="H855">
        <v>1</v>
      </c>
      <c r="I855" t="s">
        <v>14</v>
      </c>
      <c r="J855" t="s">
        <v>358</v>
      </c>
      <c r="K855">
        <f>IF(tbl_ChargingStation[[#This Row],[status]]="Operational",1,0)</f>
        <v>1</v>
      </c>
      <c r="L855">
        <f t="shared" si="26"/>
        <v>1</v>
      </c>
      <c r="M855" t="str">
        <f t="shared" si="27"/>
        <v>Kerala</v>
      </c>
    </row>
    <row r="856" spans="1:13">
      <c r="A856">
        <v>313993</v>
      </c>
      <c r="B856" t="s">
        <v>497</v>
      </c>
      <c r="C856" t="s">
        <v>498</v>
      </c>
      <c r="D856" t="s">
        <v>70</v>
      </c>
      <c r="E856" t="s">
        <v>13</v>
      </c>
      <c r="F856">
        <v>10.89791419</v>
      </c>
      <c r="G856">
        <v>76.061009670000004</v>
      </c>
      <c r="H856">
        <v>1</v>
      </c>
      <c r="I856" t="s">
        <v>14</v>
      </c>
      <c r="J856" t="s">
        <v>358</v>
      </c>
      <c r="K856">
        <f>IF(tbl_ChargingStation[[#This Row],[status]]="Operational",1,0)</f>
        <v>1</v>
      </c>
      <c r="L856">
        <f t="shared" si="26"/>
        <v>1</v>
      </c>
      <c r="M856" t="str">
        <f t="shared" si="27"/>
        <v>Kerala</v>
      </c>
    </row>
    <row r="857" spans="1:13">
      <c r="A857">
        <v>313992</v>
      </c>
      <c r="B857" t="s">
        <v>499</v>
      </c>
      <c r="C857" t="s">
        <v>117</v>
      </c>
      <c r="D857" t="s">
        <v>70</v>
      </c>
      <c r="E857" t="s">
        <v>13</v>
      </c>
      <c r="F857">
        <v>10.918580609999999</v>
      </c>
      <c r="G857">
        <v>75.917798329999997</v>
      </c>
      <c r="H857">
        <v>1</v>
      </c>
      <c r="I857" t="s">
        <v>14</v>
      </c>
      <c r="J857" t="s">
        <v>358</v>
      </c>
      <c r="K857">
        <f>IF(tbl_ChargingStation[[#This Row],[status]]="Operational",1,0)</f>
        <v>1</v>
      </c>
      <c r="L857">
        <f t="shared" si="26"/>
        <v>1</v>
      </c>
      <c r="M857" t="str">
        <f t="shared" si="27"/>
        <v>Kerala</v>
      </c>
    </row>
    <row r="858" spans="1:13">
      <c r="A858">
        <v>313990</v>
      </c>
      <c r="B858" t="s">
        <v>502</v>
      </c>
      <c r="C858" t="s">
        <v>501</v>
      </c>
      <c r="D858" t="s">
        <v>70</v>
      </c>
      <c r="E858" t="s">
        <v>13</v>
      </c>
      <c r="F858">
        <v>11.060402529999999</v>
      </c>
      <c r="G858">
        <v>76.080844159999998</v>
      </c>
      <c r="H858">
        <v>1</v>
      </c>
      <c r="I858" t="s">
        <v>14</v>
      </c>
      <c r="J858" t="s">
        <v>358</v>
      </c>
      <c r="K858">
        <f>IF(tbl_ChargingStation[[#This Row],[status]]="Operational",1,0)</f>
        <v>1</v>
      </c>
      <c r="L858">
        <f t="shared" si="26"/>
        <v>1</v>
      </c>
      <c r="M858" t="str">
        <f t="shared" si="27"/>
        <v>Kerala</v>
      </c>
    </row>
    <row r="859" spans="1:13">
      <c r="A859">
        <v>313980</v>
      </c>
      <c r="B859" t="s">
        <v>507</v>
      </c>
      <c r="C859" t="s">
        <v>508</v>
      </c>
      <c r="D859" t="s">
        <v>70</v>
      </c>
      <c r="E859" t="s">
        <v>13</v>
      </c>
      <c r="F859">
        <v>11.223249600000001</v>
      </c>
      <c r="G859">
        <v>76.21691525</v>
      </c>
      <c r="H859">
        <v>1</v>
      </c>
      <c r="I859" t="s">
        <v>14</v>
      </c>
      <c r="J859" t="s">
        <v>358</v>
      </c>
      <c r="K859">
        <f>IF(tbl_ChargingStation[[#This Row],[status]]="Operational",1,0)</f>
        <v>1</v>
      </c>
      <c r="L859">
        <f t="shared" si="26"/>
        <v>1</v>
      </c>
      <c r="M859" t="str">
        <f t="shared" si="27"/>
        <v>Kerala</v>
      </c>
    </row>
    <row r="860" spans="1:13">
      <c r="A860">
        <v>313979</v>
      </c>
      <c r="B860" t="s">
        <v>509</v>
      </c>
      <c r="C860" t="s">
        <v>508</v>
      </c>
      <c r="D860" t="s">
        <v>70</v>
      </c>
      <c r="E860" t="s">
        <v>13</v>
      </c>
      <c r="F860">
        <v>11.211054369999999</v>
      </c>
      <c r="G860">
        <v>76.224685070000007</v>
      </c>
      <c r="H860">
        <v>1</v>
      </c>
      <c r="I860" t="s">
        <v>425</v>
      </c>
      <c r="J860" t="s">
        <v>358</v>
      </c>
      <c r="K860">
        <f>IF(tbl_ChargingStation[[#This Row],[status]]="Operational",1,0)</f>
        <v>0</v>
      </c>
      <c r="L860">
        <f t="shared" si="26"/>
        <v>0</v>
      </c>
      <c r="M860" t="str">
        <f t="shared" si="27"/>
        <v>Kerala</v>
      </c>
    </row>
    <row r="861" spans="1:13">
      <c r="A861">
        <v>313954</v>
      </c>
      <c r="B861" t="s">
        <v>513</v>
      </c>
      <c r="C861" t="s">
        <v>514</v>
      </c>
      <c r="D861" t="s">
        <v>70</v>
      </c>
      <c r="E861" t="s">
        <v>13</v>
      </c>
      <c r="F861">
        <v>11.213908529999999</v>
      </c>
      <c r="G861">
        <v>75.802632110000005</v>
      </c>
      <c r="H861">
        <v>1</v>
      </c>
      <c r="I861" t="s">
        <v>14</v>
      </c>
      <c r="J861" t="s">
        <v>358</v>
      </c>
      <c r="K861">
        <f>IF(tbl_ChargingStation[[#This Row],[status]]="Operational",1,0)</f>
        <v>1</v>
      </c>
      <c r="L861">
        <f t="shared" si="26"/>
        <v>1</v>
      </c>
      <c r="M861" t="str">
        <f t="shared" si="27"/>
        <v>Kerala</v>
      </c>
    </row>
    <row r="862" spans="1:13">
      <c r="A862">
        <v>313953</v>
      </c>
      <c r="B862" t="s">
        <v>515</v>
      </c>
      <c r="C862" t="s">
        <v>197</v>
      </c>
      <c r="D862" t="s">
        <v>70</v>
      </c>
      <c r="E862" t="s">
        <v>13</v>
      </c>
      <c r="F862">
        <v>11.233626859999999</v>
      </c>
      <c r="G862">
        <v>75.803238530000002</v>
      </c>
      <c r="H862">
        <v>1</v>
      </c>
      <c r="I862" t="s">
        <v>14</v>
      </c>
      <c r="J862" t="s">
        <v>358</v>
      </c>
      <c r="K862">
        <f>IF(tbl_ChargingStation[[#This Row],[status]]="Operational",1,0)</f>
        <v>1</v>
      </c>
      <c r="L862">
        <f t="shared" si="26"/>
        <v>1</v>
      </c>
      <c r="M862" t="str">
        <f t="shared" si="27"/>
        <v>Kerala</v>
      </c>
    </row>
    <row r="863" spans="1:13">
      <c r="A863">
        <v>313947</v>
      </c>
      <c r="B863" t="s">
        <v>519</v>
      </c>
      <c r="C863" t="s">
        <v>520</v>
      </c>
      <c r="D863" t="s">
        <v>70</v>
      </c>
      <c r="E863" t="s">
        <v>13</v>
      </c>
      <c r="F863">
        <v>11.46505013</v>
      </c>
      <c r="G863">
        <v>75.970174700000001</v>
      </c>
      <c r="H863">
        <v>1</v>
      </c>
      <c r="I863" t="s">
        <v>14</v>
      </c>
      <c r="J863" t="s">
        <v>358</v>
      </c>
      <c r="K863">
        <f>IF(tbl_ChargingStation[[#This Row],[status]]="Operational",1,0)</f>
        <v>1</v>
      </c>
      <c r="L863">
        <f t="shared" si="26"/>
        <v>1</v>
      </c>
      <c r="M863" t="str">
        <f t="shared" si="27"/>
        <v>Kerala</v>
      </c>
    </row>
    <row r="864" spans="1:13">
      <c r="A864">
        <v>313946</v>
      </c>
      <c r="B864" t="s">
        <v>521</v>
      </c>
      <c r="C864" t="s">
        <v>522</v>
      </c>
      <c r="D864" t="s">
        <v>70</v>
      </c>
      <c r="E864" t="s">
        <v>13</v>
      </c>
      <c r="F864">
        <v>11.660943019999999</v>
      </c>
      <c r="G864">
        <v>76.240022819999993</v>
      </c>
      <c r="H864">
        <v>1</v>
      </c>
      <c r="I864" t="s">
        <v>14</v>
      </c>
      <c r="J864" t="s">
        <v>358</v>
      </c>
      <c r="K864">
        <f>IF(tbl_ChargingStation[[#This Row],[status]]="Operational",1,0)</f>
        <v>1</v>
      </c>
      <c r="L864">
        <f t="shared" si="26"/>
        <v>1</v>
      </c>
      <c r="M864" t="str">
        <f t="shared" si="27"/>
        <v>Kerala</v>
      </c>
    </row>
    <row r="865" spans="1:13">
      <c r="A865">
        <v>313944</v>
      </c>
      <c r="B865" t="s">
        <v>525</v>
      </c>
      <c r="C865" t="s">
        <v>526</v>
      </c>
      <c r="D865" t="s">
        <v>70</v>
      </c>
      <c r="E865" t="s">
        <v>13</v>
      </c>
      <c r="F865">
        <v>11.63735277</v>
      </c>
      <c r="G865">
        <v>76.094685380000001</v>
      </c>
      <c r="H865">
        <v>1</v>
      </c>
      <c r="I865" t="s">
        <v>14</v>
      </c>
      <c r="J865" t="s">
        <v>358</v>
      </c>
      <c r="K865">
        <f>IF(tbl_ChargingStation[[#This Row],[status]]="Operational",1,0)</f>
        <v>1</v>
      </c>
      <c r="L865">
        <f t="shared" si="26"/>
        <v>1</v>
      </c>
      <c r="M865" t="str">
        <f t="shared" si="27"/>
        <v>Kerala</v>
      </c>
    </row>
    <row r="866" spans="1:13">
      <c r="A866">
        <v>313942</v>
      </c>
      <c r="B866" t="s">
        <v>529</v>
      </c>
      <c r="C866" t="s">
        <v>530</v>
      </c>
      <c r="D866" t="s">
        <v>70</v>
      </c>
      <c r="E866" t="s">
        <v>13</v>
      </c>
      <c r="F866">
        <v>11.76173425</v>
      </c>
      <c r="G866">
        <v>75.509068380000002</v>
      </c>
      <c r="H866">
        <v>1</v>
      </c>
      <c r="I866" t="s">
        <v>14</v>
      </c>
      <c r="J866" t="s">
        <v>358</v>
      </c>
      <c r="K866">
        <f>IF(tbl_ChargingStation[[#This Row],[status]]="Operational",1,0)</f>
        <v>1</v>
      </c>
      <c r="L866">
        <f t="shared" si="26"/>
        <v>1</v>
      </c>
      <c r="M866" t="str">
        <f t="shared" si="27"/>
        <v>Kerala</v>
      </c>
    </row>
    <row r="867" spans="1:13">
      <c r="A867">
        <v>313941</v>
      </c>
      <c r="B867" t="s">
        <v>531</v>
      </c>
      <c r="C867" t="s">
        <v>532</v>
      </c>
      <c r="D867" t="s">
        <v>70</v>
      </c>
      <c r="E867" t="s">
        <v>13</v>
      </c>
      <c r="F867">
        <v>11.86015018</v>
      </c>
      <c r="G867">
        <v>75.414341219999997</v>
      </c>
      <c r="H867">
        <v>1</v>
      </c>
      <c r="I867" t="s">
        <v>14</v>
      </c>
      <c r="J867" t="s">
        <v>358</v>
      </c>
      <c r="K867">
        <f>IF(tbl_ChargingStation[[#This Row],[status]]="Operational",1,0)</f>
        <v>1</v>
      </c>
      <c r="L867">
        <f t="shared" si="26"/>
        <v>1</v>
      </c>
      <c r="M867" t="str">
        <f t="shared" si="27"/>
        <v>Kerala</v>
      </c>
    </row>
    <row r="868" spans="1:13">
      <c r="A868">
        <v>313940</v>
      </c>
      <c r="B868" t="s">
        <v>533</v>
      </c>
      <c r="C868" t="s">
        <v>534</v>
      </c>
      <c r="D868" t="s">
        <v>70</v>
      </c>
      <c r="E868" t="s">
        <v>13</v>
      </c>
      <c r="F868">
        <v>11.990685920000001</v>
      </c>
      <c r="G868">
        <v>75.658021829999996</v>
      </c>
      <c r="H868">
        <v>1</v>
      </c>
      <c r="I868" t="s">
        <v>14</v>
      </c>
      <c r="J868" t="s">
        <v>358</v>
      </c>
      <c r="K868">
        <f>IF(tbl_ChargingStation[[#This Row],[status]]="Operational",1,0)</f>
        <v>1</v>
      </c>
      <c r="L868">
        <f t="shared" si="26"/>
        <v>1</v>
      </c>
      <c r="M868" t="str">
        <f t="shared" si="27"/>
        <v>Kerala</v>
      </c>
    </row>
    <row r="869" spans="1:13">
      <c r="A869">
        <v>313923</v>
      </c>
      <c r="B869" t="s">
        <v>539</v>
      </c>
      <c r="C869" t="s">
        <v>235</v>
      </c>
      <c r="D869" t="s">
        <v>70</v>
      </c>
      <c r="E869" t="s">
        <v>13</v>
      </c>
      <c r="F869">
        <v>12.120003260000001</v>
      </c>
      <c r="G869">
        <v>75.217554509999999</v>
      </c>
      <c r="H869">
        <v>1</v>
      </c>
      <c r="I869" t="s">
        <v>14</v>
      </c>
      <c r="J869" t="s">
        <v>358</v>
      </c>
      <c r="K869">
        <f>IF(tbl_ChargingStation[[#This Row],[status]]="Operational",1,0)</f>
        <v>1</v>
      </c>
      <c r="L869">
        <f t="shared" si="26"/>
        <v>1</v>
      </c>
      <c r="M869" t="str">
        <f t="shared" si="27"/>
        <v>Kerala</v>
      </c>
    </row>
    <row r="870" spans="1:13">
      <c r="A870">
        <v>313922</v>
      </c>
      <c r="B870" t="s">
        <v>540</v>
      </c>
      <c r="C870" t="s">
        <v>541</v>
      </c>
      <c r="D870" t="s">
        <v>70</v>
      </c>
      <c r="E870" t="s">
        <v>13</v>
      </c>
      <c r="F870">
        <v>12.175048479999999</v>
      </c>
      <c r="G870">
        <v>75.193433330000005</v>
      </c>
      <c r="H870">
        <v>1</v>
      </c>
      <c r="I870" t="s">
        <v>14</v>
      </c>
      <c r="J870" t="s">
        <v>358</v>
      </c>
      <c r="K870">
        <f>IF(tbl_ChargingStation[[#This Row],[status]]="Operational",1,0)</f>
        <v>1</v>
      </c>
      <c r="L870">
        <f t="shared" si="26"/>
        <v>1</v>
      </c>
      <c r="M870" t="str">
        <f t="shared" si="27"/>
        <v>Kerala</v>
      </c>
    </row>
    <row r="871" spans="1:13">
      <c r="A871">
        <v>313920</v>
      </c>
      <c r="B871" t="s">
        <v>544</v>
      </c>
      <c r="C871" t="s">
        <v>545</v>
      </c>
      <c r="D871" t="s">
        <v>70</v>
      </c>
      <c r="E871" t="s">
        <v>13</v>
      </c>
      <c r="F871">
        <v>12.51345441</v>
      </c>
      <c r="G871">
        <v>75.027122939999998</v>
      </c>
      <c r="H871">
        <v>1</v>
      </c>
      <c r="I871" t="s">
        <v>425</v>
      </c>
      <c r="J871" t="s">
        <v>358</v>
      </c>
      <c r="K871">
        <f>IF(tbl_ChargingStation[[#This Row],[status]]="Operational",1,0)</f>
        <v>0</v>
      </c>
      <c r="L871">
        <f t="shared" si="26"/>
        <v>0</v>
      </c>
      <c r="M871" t="str">
        <f t="shared" si="27"/>
        <v>Kerala</v>
      </c>
    </row>
    <row r="872" spans="1:13">
      <c r="A872">
        <v>313919</v>
      </c>
      <c r="B872" t="s">
        <v>546</v>
      </c>
      <c r="C872" t="s">
        <v>545</v>
      </c>
      <c r="D872" t="s">
        <v>70</v>
      </c>
      <c r="E872" t="s">
        <v>13</v>
      </c>
      <c r="F872">
        <v>12.509407899999999</v>
      </c>
      <c r="G872">
        <v>74.986111140000006</v>
      </c>
      <c r="H872">
        <v>1</v>
      </c>
      <c r="I872" t="s">
        <v>14</v>
      </c>
      <c r="J872" t="s">
        <v>358</v>
      </c>
      <c r="K872">
        <f>IF(tbl_ChargingStation[[#This Row],[status]]="Operational",1,0)</f>
        <v>1</v>
      </c>
      <c r="L872">
        <f t="shared" si="26"/>
        <v>1</v>
      </c>
      <c r="M872" t="str">
        <f t="shared" si="27"/>
        <v>Kerala</v>
      </c>
    </row>
    <row r="873" spans="1:13">
      <c r="A873">
        <v>313916</v>
      </c>
      <c r="B873" t="s">
        <v>550</v>
      </c>
      <c r="C873" t="s">
        <v>187</v>
      </c>
      <c r="D873" t="s">
        <v>70</v>
      </c>
      <c r="E873" t="s">
        <v>13</v>
      </c>
      <c r="F873">
        <v>8.4886610069999993</v>
      </c>
      <c r="G873">
        <v>76.950751670000002</v>
      </c>
      <c r="H873">
        <v>1</v>
      </c>
      <c r="I873" t="s">
        <v>14</v>
      </c>
      <c r="J873" t="s">
        <v>71</v>
      </c>
      <c r="K873">
        <f>IF(tbl_ChargingStation[[#This Row],[status]]="Operational",1,0)</f>
        <v>1</v>
      </c>
      <c r="L873">
        <f t="shared" si="26"/>
        <v>1</v>
      </c>
      <c r="M873" t="str">
        <f t="shared" si="27"/>
        <v>Kerala</v>
      </c>
    </row>
    <row r="874" spans="1:13">
      <c r="A874">
        <v>313912</v>
      </c>
      <c r="B874" t="s">
        <v>555</v>
      </c>
      <c r="C874" t="s">
        <v>554</v>
      </c>
      <c r="D874" t="s">
        <v>70</v>
      </c>
      <c r="E874" t="s">
        <v>13</v>
      </c>
      <c r="F874">
        <v>8.7345233780000004</v>
      </c>
      <c r="G874">
        <v>76.898016470000002</v>
      </c>
      <c r="H874">
        <v>1</v>
      </c>
      <c r="I874" t="s">
        <v>14</v>
      </c>
      <c r="J874" t="s">
        <v>71</v>
      </c>
      <c r="K874">
        <f>IF(tbl_ChargingStation[[#This Row],[status]]="Operational",1,0)</f>
        <v>1</v>
      </c>
      <c r="L874">
        <f t="shared" si="26"/>
        <v>1</v>
      </c>
      <c r="M874" t="str">
        <f t="shared" si="27"/>
        <v>Kerala</v>
      </c>
    </row>
    <row r="875" spans="1:13">
      <c r="A875">
        <v>313910</v>
      </c>
      <c r="B875" t="s">
        <v>558</v>
      </c>
      <c r="C875" t="s">
        <v>557</v>
      </c>
      <c r="D875" t="s">
        <v>70</v>
      </c>
      <c r="E875" t="s">
        <v>13</v>
      </c>
      <c r="F875">
        <v>8.7330676589999996</v>
      </c>
      <c r="G875">
        <v>76.810646550000001</v>
      </c>
      <c r="H875">
        <v>1</v>
      </c>
      <c r="I875" t="s">
        <v>14</v>
      </c>
      <c r="J875" t="s">
        <v>71</v>
      </c>
      <c r="K875">
        <f>IF(tbl_ChargingStation[[#This Row],[status]]="Operational",1,0)</f>
        <v>1</v>
      </c>
      <c r="L875">
        <f t="shared" si="26"/>
        <v>1</v>
      </c>
      <c r="M875" t="str">
        <f t="shared" si="27"/>
        <v>Kerala</v>
      </c>
    </row>
    <row r="876" spans="1:13">
      <c r="A876">
        <v>313901</v>
      </c>
      <c r="B876" t="s">
        <v>574</v>
      </c>
      <c r="C876" t="s">
        <v>326</v>
      </c>
      <c r="D876" t="s">
        <v>70</v>
      </c>
      <c r="E876" t="s">
        <v>13</v>
      </c>
      <c r="F876">
        <v>9.1453059640000003</v>
      </c>
      <c r="G876">
        <v>76.765858390000005</v>
      </c>
      <c r="H876">
        <v>1</v>
      </c>
      <c r="I876" t="s">
        <v>14</v>
      </c>
      <c r="J876" t="s">
        <v>71</v>
      </c>
      <c r="K876">
        <f>IF(tbl_ChargingStation[[#This Row],[status]]="Operational",1,0)</f>
        <v>1</v>
      </c>
      <c r="L876">
        <f t="shared" si="26"/>
        <v>1</v>
      </c>
      <c r="M876" t="str">
        <f t="shared" si="27"/>
        <v>Kerala</v>
      </c>
    </row>
    <row r="877" spans="1:13">
      <c r="A877">
        <v>313898</v>
      </c>
      <c r="B877" t="s">
        <v>578</v>
      </c>
      <c r="C877" t="s">
        <v>328</v>
      </c>
      <c r="D877" t="s">
        <v>70</v>
      </c>
      <c r="E877" t="s">
        <v>13</v>
      </c>
      <c r="F877">
        <v>9.1323074109999993</v>
      </c>
      <c r="G877">
        <v>76.513858290000002</v>
      </c>
      <c r="H877">
        <v>1</v>
      </c>
      <c r="I877" t="s">
        <v>14</v>
      </c>
      <c r="J877" t="s">
        <v>71</v>
      </c>
      <c r="K877">
        <f>IF(tbl_ChargingStation[[#This Row],[status]]="Operational",1,0)</f>
        <v>1</v>
      </c>
      <c r="L877">
        <f t="shared" si="26"/>
        <v>1</v>
      </c>
      <c r="M877" t="str">
        <f t="shared" si="27"/>
        <v>Kerala</v>
      </c>
    </row>
    <row r="878" spans="1:13">
      <c r="A878">
        <v>313894</v>
      </c>
      <c r="B878" t="s">
        <v>584</v>
      </c>
      <c r="C878" t="s">
        <v>585</v>
      </c>
      <c r="D878" t="s">
        <v>70</v>
      </c>
      <c r="E878" t="s">
        <v>13</v>
      </c>
      <c r="F878">
        <v>9.2637768089999994</v>
      </c>
      <c r="G878">
        <v>76.785435300000003</v>
      </c>
      <c r="H878">
        <v>1</v>
      </c>
      <c r="I878" t="s">
        <v>14</v>
      </c>
      <c r="J878" t="s">
        <v>71</v>
      </c>
      <c r="K878">
        <f>IF(tbl_ChargingStation[[#This Row],[status]]="Operational",1,0)</f>
        <v>1</v>
      </c>
      <c r="L878">
        <f t="shared" si="26"/>
        <v>1</v>
      </c>
      <c r="M878" t="str">
        <f t="shared" si="27"/>
        <v>Kerala</v>
      </c>
    </row>
    <row r="879" spans="1:13">
      <c r="A879">
        <v>313890</v>
      </c>
      <c r="B879" t="s">
        <v>590</v>
      </c>
      <c r="C879" t="s">
        <v>591</v>
      </c>
      <c r="D879" t="s">
        <v>70</v>
      </c>
      <c r="E879" t="s">
        <v>13</v>
      </c>
      <c r="F879">
        <v>9.8069424890000008</v>
      </c>
      <c r="G879">
        <v>77.047940260000004</v>
      </c>
      <c r="H879">
        <v>1</v>
      </c>
      <c r="I879" t="s">
        <v>14</v>
      </c>
      <c r="J879" t="s">
        <v>71</v>
      </c>
      <c r="K879">
        <f>IF(tbl_ChargingStation[[#This Row],[status]]="Operational",1,0)</f>
        <v>1</v>
      </c>
      <c r="L879">
        <f t="shared" si="26"/>
        <v>1</v>
      </c>
      <c r="M879" t="str">
        <f t="shared" si="27"/>
        <v>Kerala</v>
      </c>
    </row>
    <row r="880" spans="1:13">
      <c r="A880">
        <v>313889</v>
      </c>
      <c r="B880" t="s">
        <v>592</v>
      </c>
      <c r="C880" t="s">
        <v>306</v>
      </c>
      <c r="D880" t="s">
        <v>70</v>
      </c>
      <c r="E880" t="s">
        <v>13</v>
      </c>
      <c r="F880">
        <v>9.7476172929999993</v>
      </c>
      <c r="G880">
        <v>77.105417700000004</v>
      </c>
      <c r="H880">
        <v>1</v>
      </c>
      <c r="I880" t="s">
        <v>14</v>
      </c>
      <c r="J880" t="s">
        <v>71</v>
      </c>
      <c r="K880">
        <f>IF(tbl_ChargingStation[[#This Row],[status]]="Operational",1,0)</f>
        <v>1</v>
      </c>
      <c r="L880">
        <f t="shared" si="26"/>
        <v>1</v>
      </c>
      <c r="M880" t="str">
        <f t="shared" si="27"/>
        <v>Kerala</v>
      </c>
    </row>
    <row r="881" spans="1:13">
      <c r="A881">
        <v>313885</v>
      </c>
      <c r="B881" t="s">
        <v>598</v>
      </c>
      <c r="C881" t="s">
        <v>599</v>
      </c>
      <c r="D881" t="s">
        <v>70</v>
      </c>
      <c r="E881" t="s">
        <v>13</v>
      </c>
      <c r="F881">
        <v>9.5670747289999998</v>
      </c>
      <c r="G881">
        <v>76.706094039999996</v>
      </c>
      <c r="H881">
        <v>1</v>
      </c>
      <c r="I881" t="s">
        <v>14</v>
      </c>
      <c r="J881" t="s">
        <v>71</v>
      </c>
      <c r="K881">
        <f>IF(tbl_ChargingStation[[#This Row],[status]]="Operational",1,0)</f>
        <v>1</v>
      </c>
      <c r="L881">
        <f t="shared" si="26"/>
        <v>1</v>
      </c>
      <c r="M881" t="str">
        <f t="shared" si="27"/>
        <v>Kerala</v>
      </c>
    </row>
    <row r="882" spans="1:13">
      <c r="A882">
        <v>313882</v>
      </c>
      <c r="B882" t="s">
        <v>604</v>
      </c>
      <c r="C882" t="s">
        <v>605</v>
      </c>
      <c r="D882" t="s">
        <v>70</v>
      </c>
      <c r="E882" t="s">
        <v>13</v>
      </c>
      <c r="F882">
        <v>9.6832481510000008</v>
      </c>
      <c r="G882">
        <v>76.609753569999995</v>
      </c>
      <c r="H882">
        <v>1</v>
      </c>
      <c r="I882" t="s">
        <v>14</v>
      </c>
      <c r="J882" t="s">
        <v>71</v>
      </c>
      <c r="K882">
        <f>IF(tbl_ChargingStation[[#This Row],[status]]="Operational",1,0)</f>
        <v>1</v>
      </c>
      <c r="L882">
        <f t="shared" si="26"/>
        <v>1</v>
      </c>
      <c r="M882" t="str">
        <f t="shared" si="27"/>
        <v>Kerala</v>
      </c>
    </row>
    <row r="883" spans="1:13">
      <c r="A883">
        <v>313879</v>
      </c>
      <c r="B883" t="s">
        <v>609</v>
      </c>
      <c r="C883" t="s">
        <v>610</v>
      </c>
      <c r="D883" t="s">
        <v>70</v>
      </c>
      <c r="E883" t="s">
        <v>13</v>
      </c>
      <c r="F883">
        <v>9.7275794260000001</v>
      </c>
      <c r="G883">
        <v>76.520387769999999</v>
      </c>
      <c r="H883">
        <v>1</v>
      </c>
      <c r="I883" t="s">
        <v>14</v>
      </c>
      <c r="J883" t="s">
        <v>71</v>
      </c>
      <c r="K883">
        <f>IF(tbl_ChargingStation[[#This Row],[status]]="Operational",1,0)</f>
        <v>1</v>
      </c>
      <c r="L883">
        <f t="shared" si="26"/>
        <v>1</v>
      </c>
      <c r="M883" t="str">
        <f t="shared" si="27"/>
        <v>Kerala</v>
      </c>
    </row>
    <row r="884" spans="1:13">
      <c r="A884">
        <v>313877</v>
      </c>
      <c r="B884" t="s">
        <v>613</v>
      </c>
      <c r="C884" t="s">
        <v>614</v>
      </c>
      <c r="D884" t="s">
        <v>70</v>
      </c>
      <c r="E884" t="s">
        <v>13</v>
      </c>
      <c r="F884">
        <v>9.5893993359999996</v>
      </c>
      <c r="G884">
        <v>76.526330529999996</v>
      </c>
      <c r="H884">
        <v>1</v>
      </c>
      <c r="I884" t="s">
        <v>14</v>
      </c>
      <c r="J884" t="s">
        <v>71</v>
      </c>
      <c r="K884">
        <f>IF(tbl_ChargingStation[[#This Row],[status]]="Operational",1,0)</f>
        <v>1</v>
      </c>
      <c r="L884">
        <f t="shared" si="26"/>
        <v>1</v>
      </c>
      <c r="M884" t="str">
        <f t="shared" si="27"/>
        <v>Kerala</v>
      </c>
    </row>
    <row r="885" spans="1:13">
      <c r="A885">
        <v>313875</v>
      </c>
      <c r="B885" t="s">
        <v>616</v>
      </c>
      <c r="C885" t="s">
        <v>617</v>
      </c>
      <c r="D885" t="s">
        <v>70</v>
      </c>
      <c r="E885" t="s">
        <v>13</v>
      </c>
      <c r="F885">
        <v>9.490169817</v>
      </c>
      <c r="G885">
        <v>76.320737159999993</v>
      </c>
      <c r="H885">
        <v>1</v>
      </c>
      <c r="I885" t="s">
        <v>14</v>
      </c>
      <c r="J885" t="s">
        <v>71</v>
      </c>
      <c r="K885">
        <f>IF(tbl_ChargingStation[[#This Row],[status]]="Operational",1,0)</f>
        <v>1</v>
      </c>
      <c r="L885">
        <f t="shared" si="26"/>
        <v>1</v>
      </c>
      <c r="M885" t="str">
        <f t="shared" si="27"/>
        <v>Kerala</v>
      </c>
    </row>
    <row r="886" spans="1:13">
      <c r="A886">
        <v>313874</v>
      </c>
      <c r="B886" t="s">
        <v>618</v>
      </c>
      <c r="C886" t="s">
        <v>617</v>
      </c>
      <c r="D886" t="s">
        <v>70</v>
      </c>
      <c r="E886" t="s">
        <v>13</v>
      </c>
      <c r="F886">
        <v>9.5594971690000001</v>
      </c>
      <c r="G886">
        <v>76.328213590000004</v>
      </c>
      <c r="H886">
        <v>1</v>
      </c>
      <c r="I886" t="s">
        <v>14</v>
      </c>
      <c r="J886" t="s">
        <v>71</v>
      </c>
      <c r="K886">
        <f>IF(tbl_ChargingStation[[#This Row],[status]]="Operational",1,0)</f>
        <v>1</v>
      </c>
      <c r="L886">
        <f t="shared" si="26"/>
        <v>1</v>
      </c>
      <c r="M886" t="str">
        <f t="shared" si="27"/>
        <v>Kerala</v>
      </c>
    </row>
    <row r="887" spans="1:13">
      <c r="A887">
        <v>313873</v>
      </c>
      <c r="B887" t="s">
        <v>619</v>
      </c>
      <c r="C887" t="s">
        <v>617</v>
      </c>
      <c r="D887" t="s">
        <v>70</v>
      </c>
      <c r="E887" t="s">
        <v>13</v>
      </c>
      <c r="F887">
        <v>9.5625750620000005</v>
      </c>
      <c r="G887">
        <v>76.327584029999997</v>
      </c>
      <c r="H887">
        <v>1</v>
      </c>
      <c r="I887" t="s">
        <v>14</v>
      </c>
      <c r="J887" t="s">
        <v>71</v>
      </c>
      <c r="K887">
        <f>IF(tbl_ChargingStation[[#This Row],[status]]="Operational",1,0)</f>
        <v>1</v>
      </c>
      <c r="L887">
        <f t="shared" si="26"/>
        <v>1</v>
      </c>
      <c r="M887" t="str">
        <f t="shared" si="27"/>
        <v>Kerala</v>
      </c>
    </row>
    <row r="888" spans="1:13">
      <c r="A888">
        <v>313871</v>
      </c>
      <c r="B888" t="s">
        <v>621</v>
      </c>
      <c r="C888" t="s">
        <v>622</v>
      </c>
      <c r="D888" t="s">
        <v>70</v>
      </c>
      <c r="E888" t="s">
        <v>13</v>
      </c>
      <c r="F888">
        <v>9.851840438</v>
      </c>
      <c r="G888">
        <v>76.389387869999993</v>
      </c>
      <c r="H888">
        <v>1</v>
      </c>
      <c r="I888" t="s">
        <v>14</v>
      </c>
      <c r="J888" t="s">
        <v>71</v>
      </c>
      <c r="K888">
        <f>IF(tbl_ChargingStation[[#This Row],[status]]="Operational",1,0)</f>
        <v>1</v>
      </c>
      <c r="L888">
        <f t="shared" si="26"/>
        <v>1</v>
      </c>
      <c r="M888" t="str">
        <f t="shared" si="27"/>
        <v>Kerala</v>
      </c>
    </row>
    <row r="889" spans="1:13">
      <c r="A889">
        <v>313870</v>
      </c>
      <c r="B889" t="s">
        <v>623</v>
      </c>
      <c r="C889" t="s">
        <v>624</v>
      </c>
      <c r="D889" t="s">
        <v>70</v>
      </c>
      <c r="E889" t="s">
        <v>13</v>
      </c>
      <c r="F889">
        <v>9.9626102680000006</v>
      </c>
      <c r="G889">
        <v>76.358001160000001</v>
      </c>
      <c r="H889">
        <v>1</v>
      </c>
      <c r="I889" t="s">
        <v>14</v>
      </c>
      <c r="J889" t="s">
        <v>71</v>
      </c>
      <c r="K889">
        <f>IF(tbl_ChargingStation[[#This Row],[status]]="Operational",1,0)</f>
        <v>1</v>
      </c>
      <c r="L889">
        <f t="shared" si="26"/>
        <v>1</v>
      </c>
      <c r="M889" t="str">
        <f t="shared" si="27"/>
        <v>Kerala</v>
      </c>
    </row>
    <row r="890" spans="1:13">
      <c r="A890">
        <v>313862</v>
      </c>
      <c r="B890" t="s">
        <v>637</v>
      </c>
      <c r="C890" t="s">
        <v>638</v>
      </c>
      <c r="D890" t="s">
        <v>70</v>
      </c>
      <c r="E890" t="s">
        <v>13</v>
      </c>
      <c r="F890">
        <v>10.035673989999999</v>
      </c>
      <c r="G890">
        <v>76.336448450000006</v>
      </c>
      <c r="H890">
        <v>1</v>
      </c>
      <c r="I890" t="s">
        <v>14</v>
      </c>
      <c r="J890" t="s">
        <v>71</v>
      </c>
      <c r="K890">
        <f>IF(tbl_ChargingStation[[#This Row],[status]]="Operational",1,0)</f>
        <v>1</v>
      </c>
      <c r="L890">
        <f t="shared" si="26"/>
        <v>1</v>
      </c>
      <c r="M890" t="str">
        <f t="shared" si="27"/>
        <v>Kerala</v>
      </c>
    </row>
    <row r="891" spans="1:13">
      <c r="A891">
        <v>313858</v>
      </c>
      <c r="B891" t="s">
        <v>643</v>
      </c>
      <c r="C891" t="s">
        <v>644</v>
      </c>
      <c r="D891" t="s">
        <v>70</v>
      </c>
      <c r="E891" t="s">
        <v>13</v>
      </c>
      <c r="F891">
        <v>10.05657909</v>
      </c>
      <c r="G891">
        <v>76.77664747</v>
      </c>
      <c r="H891">
        <v>1</v>
      </c>
      <c r="I891" t="s">
        <v>14</v>
      </c>
      <c r="J891" t="s">
        <v>71</v>
      </c>
      <c r="K891">
        <f>IF(tbl_ChargingStation[[#This Row],[status]]="Operational",1,0)</f>
        <v>1</v>
      </c>
      <c r="L891">
        <f t="shared" si="26"/>
        <v>1</v>
      </c>
      <c r="M891" t="str">
        <f t="shared" si="27"/>
        <v>Kerala</v>
      </c>
    </row>
    <row r="892" spans="1:13">
      <c r="A892">
        <v>313855</v>
      </c>
      <c r="B892" t="s">
        <v>647</v>
      </c>
      <c r="C892" t="s">
        <v>92</v>
      </c>
      <c r="D892" t="s">
        <v>70</v>
      </c>
      <c r="E892" t="s">
        <v>13</v>
      </c>
      <c r="F892">
        <v>10.13484738</v>
      </c>
      <c r="G892">
        <v>76.354549039999995</v>
      </c>
      <c r="H892">
        <v>1</v>
      </c>
      <c r="I892" t="s">
        <v>14</v>
      </c>
      <c r="J892" t="s">
        <v>71</v>
      </c>
      <c r="K892">
        <f>IF(tbl_ChargingStation[[#This Row],[status]]="Operational",1,0)</f>
        <v>1</v>
      </c>
      <c r="L892">
        <f t="shared" si="26"/>
        <v>1</v>
      </c>
      <c r="M892" t="str">
        <f t="shared" si="27"/>
        <v>Kerala</v>
      </c>
    </row>
    <row r="893" spans="1:13">
      <c r="A893">
        <v>313853</v>
      </c>
      <c r="B893" t="s">
        <v>650</v>
      </c>
      <c r="C893" t="s">
        <v>649</v>
      </c>
      <c r="D893" t="s">
        <v>70</v>
      </c>
      <c r="E893" t="s">
        <v>13</v>
      </c>
      <c r="F893">
        <v>10.15505346</v>
      </c>
      <c r="G893">
        <v>76.354714529999995</v>
      </c>
      <c r="H893">
        <v>1</v>
      </c>
      <c r="I893" t="s">
        <v>14</v>
      </c>
      <c r="J893" t="s">
        <v>71</v>
      </c>
      <c r="K893">
        <f>IF(tbl_ChargingStation[[#This Row],[status]]="Operational",1,0)</f>
        <v>1</v>
      </c>
      <c r="L893">
        <f t="shared" si="26"/>
        <v>1</v>
      </c>
      <c r="M893" t="str">
        <f t="shared" si="27"/>
        <v>Kerala</v>
      </c>
    </row>
    <row r="894" spans="1:13">
      <c r="A894">
        <v>313850</v>
      </c>
      <c r="B894" t="s">
        <v>652</v>
      </c>
      <c r="C894" t="s">
        <v>103</v>
      </c>
      <c r="D894" t="s">
        <v>70</v>
      </c>
      <c r="E894" t="s">
        <v>13</v>
      </c>
      <c r="F894">
        <v>10.149673030000001</v>
      </c>
      <c r="G894">
        <v>76.217564190000004</v>
      </c>
      <c r="H894">
        <v>1</v>
      </c>
      <c r="I894" t="s">
        <v>14</v>
      </c>
      <c r="J894" t="s">
        <v>71</v>
      </c>
      <c r="K894">
        <f>IF(tbl_ChargingStation[[#This Row],[status]]="Operational",1,0)</f>
        <v>1</v>
      </c>
      <c r="L894">
        <f t="shared" si="26"/>
        <v>1</v>
      </c>
      <c r="M894" t="str">
        <f t="shared" si="27"/>
        <v>Kerala</v>
      </c>
    </row>
    <row r="895" spans="1:13">
      <c r="A895">
        <v>313848</v>
      </c>
      <c r="B895" t="s">
        <v>655</v>
      </c>
      <c r="C895" t="s">
        <v>656</v>
      </c>
      <c r="D895" t="s">
        <v>70</v>
      </c>
      <c r="E895" t="s">
        <v>13</v>
      </c>
      <c r="F895">
        <v>10.24066912</v>
      </c>
      <c r="G895">
        <v>76.27252885</v>
      </c>
      <c r="H895">
        <v>1</v>
      </c>
      <c r="I895" t="s">
        <v>14</v>
      </c>
      <c r="J895" t="s">
        <v>71</v>
      </c>
      <c r="K895">
        <f>IF(tbl_ChargingStation[[#This Row],[status]]="Operational",1,0)</f>
        <v>1</v>
      </c>
      <c r="L895">
        <f t="shared" si="26"/>
        <v>1</v>
      </c>
      <c r="M895" t="str">
        <f t="shared" si="27"/>
        <v>Kerala</v>
      </c>
    </row>
    <row r="896" spans="1:13">
      <c r="A896">
        <v>313841</v>
      </c>
      <c r="B896" t="s">
        <v>660</v>
      </c>
      <c r="C896" t="s">
        <v>169</v>
      </c>
      <c r="D896" t="s">
        <v>70</v>
      </c>
      <c r="E896" t="s">
        <v>13</v>
      </c>
      <c r="F896">
        <v>10.526149569999999</v>
      </c>
      <c r="G896">
        <v>76.187954619999999</v>
      </c>
      <c r="H896">
        <v>1</v>
      </c>
      <c r="I896" t="s">
        <v>14</v>
      </c>
      <c r="J896" t="s">
        <v>71</v>
      </c>
      <c r="K896">
        <f>IF(tbl_ChargingStation[[#This Row],[status]]="Operational",1,0)</f>
        <v>1</v>
      </c>
      <c r="L896">
        <f t="shared" si="26"/>
        <v>1</v>
      </c>
      <c r="M896" t="str">
        <f t="shared" si="27"/>
        <v>Kerala</v>
      </c>
    </row>
    <row r="897" spans="1:13">
      <c r="A897">
        <v>313819</v>
      </c>
      <c r="B897" t="s">
        <v>668</v>
      </c>
      <c r="C897" t="s">
        <v>669</v>
      </c>
      <c r="D897" t="s">
        <v>70</v>
      </c>
      <c r="E897" t="s">
        <v>13</v>
      </c>
      <c r="F897">
        <v>10.598447820000001</v>
      </c>
      <c r="G897">
        <v>76.036367889999994</v>
      </c>
      <c r="H897">
        <v>1</v>
      </c>
      <c r="I897" t="s">
        <v>14</v>
      </c>
      <c r="J897" t="s">
        <v>71</v>
      </c>
      <c r="K897">
        <f>IF(tbl_ChargingStation[[#This Row],[status]]="Operational",1,0)</f>
        <v>1</v>
      </c>
      <c r="L897">
        <f t="shared" si="26"/>
        <v>1</v>
      </c>
      <c r="M897" t="str">
        <f t="shared" si="27"/>
        <v>Kerala</v>
      </c>
    </row>
    <row r="898" spans="1:13">
      <c r="A898">
        <v>313811</v>
      </c>
      <c r="B898" t="s">
        <v>679</v>
      </c>
      <c r="C898" t="s">
        <v>680</v>
      </c>
      <c r="D898" t="s">
        <v>70</v>
      </c>
      <c r="E898" t="s">
        <v>13</v>
      </c>
      <c r="F898">
        <v>10.593239029999999</v>
      </c>
      <c r="G898">
        <v>76.48253527</v>
      </c>
      <c r="H898">
        <v>1</v>
      </c>
      <c r="I898" t="s">
        <v>14</v>
      </c>
      <c r="J898" t="s">
        <v>71</v>
      </c>
      <c r="K898">
        <f>IF(tbl_ChargingStation[[#This Row],[status]]="Operational",1,0)</f>
        <v>1</v>
      </c>
      <c r="L898">
        <f t="shared" ref="L898:L961" si="28">H898*K898</f>
        <v>1</v>
      </c>
      <c r="M898" t="str">
        <f t="shared" ref="M898:M961" si="29">IF(D898="GJ","Gujarat",IF(OR(D898="Keral",D898="Keraka",D898="Lerala"),"Kerala",IF(D898="MH","Maharashtra",IF(D898="MP","Madhya Pradesh",IF(D898="RJ","Rajasthan",IF(D898="TAMILNADU","Tamil Nadu",IF(D898="Uttarakhnad","Uttarakhand",D898)))))))</f>
        <v>Kerala</v>
      </c>
    </row>
    <row r="899" spans="1:13">
      <c r="A899">
        <v>313808</v>
      </c>
      <c r="B899" t="s">
        <v>685</v>
      </c>
      <c r="C899" t="s">
        <v>686</v>
      </c>
      <c r="D899" t="s">
        <v>70</v>
      </c>
      <c r="E899" t="s">
        <v>13</v>
      </c>
      <c r="F899">
        <v>10.750381969999999</v>
      </c>
      <c r="G899">
        <v>76.274756600000003</v>
      </c>
      <c r="H899">
        <v>1</v>
      </c>
      <c r="I899" t="s">
        <v>14</v>
      </c>
      <c r="J899" t="s">
        <v>71</v>
      </c>
      <c r="K899">
        <f>IF(tbl_ChargingStation[[#This Row],[status]]="Operational",1,0)</f>
        <v>1</v>
      </c>
      <c r="L899">
        <f t="shared" si="28"/>
        <v>1</v>
      </c>
      <c r="M899" t="str">
        <f t="shared" si="29"/>
        <v>Kerala</v>
      </c>
    </row>
    <row r="900" spans="1:13">
      <c r="A900">
        <v>313807</v>
      </c>
      <c r="B900" t="s">
        <v>687</v>
      </c>
      <c r="C900" t="s">
        <v>688</v>
      </c>
      <c r="D900" t="s">
        <v>70</v>
      </c>
      <c r="E900" t="s">
        <v>13</v>
      </c>
      <c r="F900">
        <v>10.80479517</v>
      </c>
      <c r="G900">
        <v>76.208157080000007</v>
      </c>
      <c r="H900">
        <v>1</v>
      </c>
      <c r="I900" t="s">
        <v>14</v>
      </c>
      <c r="J900" t="s">
        <v>71</v>
      </c>
      <c r="K900">
        <f>IF(tbl_ChargingStation[[#This Row],[status]]="Operational",1,0)</f>
        <v>1</v>
      </c>
      <c r="L900">
        <f t="shared" si="28"/>
        <v>1</v>
      </c>
      <c r="M900" t="str">
        <f t="shared" si="29"/>
        <v>Kerala</v>
      </c>
    </row>
    <row r="901" spans="1:13">
      <c r="A901">
        <v>313805</v>
      </c>
      <c r="B901" t="s">
        <v>690</v>
      </c>
      <c r="C901" t="s">
        <v>691</v>
      </c>
      <c r="D901" t="s">
        <v>70</v>
      </c>
      <c r="E901" t="s">
        <v>13</v>
      </c>
      <c r="F901">
        <v>10.78488099</v>
      </c>
      <c r="G901">
        <v>76.170676270000001</v>
      </c>
      <c r="H901">
        <v>1</v>
      </c>
      <c r="I901" t="s">
        <v>14</v>
      </c>
      <c r="J901" t="s">
        <v>71</v>
      </c>
      <c r="K901">
        <f>IF(tbl_ChargingStation[[#This Row],[status]]="Operational",1,0)</f>
        <v>1</v>
      </c>
      <c r="L901">
        <f t="shared" si="28"/>
        <v>1</v>
      </c>
      <c r="M901" t="str">
        <f t="shared" si="29"/>
        <v>Kerala</v>
      </c>
    </row>
    <row r="902" spans="1:13">
      <c r="A902">
        <v>313786</v>
      </c>
      <c r="B902" t="s">
        <v>698</v>
      </c>
      <c r="C902" t="s">
        <v>699</v>
      </c>
      <c r="D902" t="s">
        <v>70</v>
      </c>
      <c r="E902" t="s">
        <v>13</v>
      </c>
      <c r="F902">
        <v>11.139596149999999</v>
      </c>
      <c r="G902">
        <v>76.236113459999999</v>
      </c>
      <c r="H902">
        <v>1</v>
      </c>
      <c r="I902" t="s">
        <v>14</v>
      </c>
      <c r="J902" t="s">
        <v>71</v>
      </c>
      <c r="K902">
        <f>IF(tbl_ChargingStation[[#This Row],[status]]="Operational",1,0)</f>
        <v>1</v>
      </c>
      <c r="L902">
        <f t="shared" si="28"/>
        <v>1</v>
      </c>
      <c r="M902" t="str">
        <f t="shared" si="29"/>
        <v>Kerala</v>
      </c>
    </row>
    <row r="903" spans="1:13">
      <c r="A903">
        <v>313785</v>
      </c>
      <c r="B903" t="s">
        <v>700</v>
      </c>
      <c r="C903" t="s">
        <v>701</v>
      </c>
      <c r="D903" t="s">
        <v>70</v>
      </c>
      <c r="E903" t="s">
        <v>13</v>
      </c>
      <c r="F903">
        <v>11.28804948</v>
      </c>
      <c r="G903">
        <v>76.297981710000002</v>
      </c>
      <c r="H903">
        <v>1</v>
      </c>
      <c r="I903" t="s">
        <v>14</v>
      </c>
      <c r="J903" t="s">
        <v>71</v>
      </c>
      <c r="K903">
        <f>IF(tbl_ChargingStation[[#This Row],[status]]="Operational",1,0)</f>
        <v>1</v>
      </c>
      <c r="L903">
        <f t="shared" si="28"/>
        <v>1</v>
      </c>
      <c r="M903" t="str">
        <f t="shared" si="29"/>
        <v>Kerala</v>
      </c>
    </row>
    <row r="904" spans="1:13">
      <c r="A904">
        <v>313784</v>
      </c>
      <c r="B904" t="s">
        <v>702</v>
      </c>
      <c r="C904" t="s">
        <v>703</v>
      </c>
      <c r="D904" t="s">
        <v>70</v>
      </c>
      <c r="E904" t="s">
        <v>13</v>
      </c>
      <c r="F904">
        <v>11.28668073</v>
      </c>
      <c r="G904">
        <v>76.239263789999995</v>
      </c>
      <c r="H904">
        <v>1</v>
      </c>
      <c r="I904" t="s">
        <v>14</v>
      </c>
      <c r="J904" t="s">
        <v>71</v>
      </c>
      <c r="K904">
        <f>IF(tbl_ChargingStation[[#This Row],[status]]="Operational",1,0)</f>
        <v>1</v>
      </c>
      <c r="L904">
        <f t="shared" si="28"/>
        <v>1</v>
      </c>
      <c r="M904" t="str">
        <f t="shared" si="29"/>
        <v>Kerala</v>
      </c>
    </row>
    <row r="905" spans="1:13">
      <c r="A905">
        <v>313783</v>
      </c>
      <c r="B905" t="s">
        <v>704</v>
      </c>
      <c r="C905" t="s">
        <v>703</v>
      </c>
      <c r="D905" t="s">
        <v>70</v>
      </c>
      <c r="E905" t="s">
        <v>13</v>
      </c>
      <c r="F905">
        <v>11.253647259999999</v>
      </c>
      <c r="G905">
        <v>76.201901199999995</v>
      </c>
      <c r="H905">
        <v>1</v>
      </c>
      <c r="I905" t="s">
        <v>14</v>
      </c>
      <c r="J905" t="s">
        <v>71</v>
      </c>
      <c r="K905">
        <f>IF(tbl_ChargingStation[[#This Row],[status]]="Operational",1,0)</f>
        <v>1</v>
      </c>
      <c r="L905">
        <f t="shared" si="28"/>
        <v>1</v>
      </c>
      <c r="M905" t="str">
        <f t="shared" si="29"/>
        <v>Kerala</v>
      </c>
    </row>
    <row r="906" spans="1:13">
      <c r="A906">
        <v>313781</v>
      </c>
      <c r="B906" t="s">
        <v>706</v>
      </c>
      <c r="C906" t="s">
        <v>501</v>
      </c>
      <c r="D906" t="s">
        <v>70</v>
      </c>
      <c r="E906" t="s">
        <v>13</v>
      </c>
      <c r="F906">
        <v>11.04318059</v>
      </c>
      <c r="G906">
        <v>76.08430156</v>
      </c>
      <c r="H906">
        <v>1</v>
      </c>
      <c r="I906" t="s">
        <v>14</v>
      </c>
      <c r="J906" t="s">
        <v>71</v>
      </c>
      <c r="K906">
        <f>IF(tbl_ChargingStation[[#This Row],[status]]="Operational",1,0)</f>
        <v>1</v>
      </c>
      <c r="L906">
        <f t="shared" si="28"/>
        <v>1</v>
      </c>
      <c r="M906" t="str">
        <f t="shared" si="29"/>
        <v>Kerala</v>
      </c>
    </row>
    <row r="907" spans="1:13">
      <c r="A907">
        <v>313780</v>
      </c>
      <c r="B907" t="s">
        <v>707</v>
      </c>
      <c r="C907" t="s">
        <v>708</v>
      </c>
      <c r="D907" t="s">
        <v>70</v>
      </c>
      <c r="E907" t="s">
        <v>13</v>
      </c>
      <c r="F907">
        <v>11.021175489999999</v>
      </c>
      <c r="G907">
        <v>75.948126090000002</v>
      </c>
      <c r="H907">
        <v>1</v>
      </c>
      <c r="I907" t="s">
        <v>14</v>
      </c>
      <c r="J907" t="s">
        <v>71</v>
      </c>
      <c r="K907">
        <f>IF(tbl_ChargingStation[[#This Row],[status]]="Operational",1,0)</f>
        <v>1</v>
      </c>
      <c r="L907">
        <f t="shared" si="28"/>
        <v>1</v>
      </c>
      <c r="M907" t="str">
        <f t="shared" si="29"/>
        <v>Kerala</v>
      </c>
    </row>
    <row r="908" spans="1:13">
      <c r="A908">
        <v>313779</v>
      </c>
      <c r="B908" t="s">
        <v>709</v>
      </c>
      <c r="C908" t="s">
        <v>501</v>
      </c>
      <c r="D908" t="s">
        <v>70</v>
      </c>
      <c r="E908" t="s">
        <v>13</v>
      </c>
      <c r="F908">
        <v>11.078417050000001</v>
      </c>
      <c r="G908">
        <v>75.902763919999998</v>
      </c>
      <c r="H908">
        <v>1</v>
      </c>
      <c r="I908" t="s">
        <v>14</v>
      </c>
      <c r="J908" t="s">
        <v>71</v>
      </c>
      <c r="K908">
        <f>IF(tbl_ChargingStation[[#This Row],[status]]="Operational",1,0)</f>
        <v>1</v>
      </c>
      <c r="L908">
        <f t="shared" si="28"/>
        <v>1</v>
      </c>
      <c r="M908" t="str">
        <f t="shared" si="29"/>
        <v>Kerala</v>
      </c>
    </row>
    <row r="909" spans="1:13">
      <c r="A909">
        <v>313778</v>
      </c>
      <c r="B909" t="s">
        <v>710</v>
      </c>
      <c r="C909" t="s">
        <v>197</v>
      </c>
      <c r="D909" t="s">
        <v>711</v>
      </c>
      <c r="E909" t="s">
        <v>13</v>
      </c>
      <c r="F909">
        <v>11.23473742</v>
      </c>
      <c r="G909">
        <v>75.846706589999997</v>
      </c>
      <c r="H909">
        <v>1</v>
      </c>
      <c r="I909" t="s">
        <v>14</v>
      </c>
      <c r="J909" t="s">
        <v>71</v>
      </c>
      <c r="K909">
        <f>IF(tbl_ChargingStation[[#This Row],[status]]="Operational",1,0)</f>
        <v>1</v>
      </c>
      <c r="L909">
        <f t="shared" si="28"/>
        <v>1</v>
      </c>
      <c r="M909" t="str">
        <f t="shared" si="29"/>
        <v>Kerala</v>
      </c>
    </row>
    <row r="910" spans="1:13">
      <c r="A910">
        <v>313777</v>
      </c>
      <c r="B910" t="s">
        <v>712</v>
      </c>
      <c r="C910" t="s">
        <v>713</v>
      </c>
      <c r="D910" t="s">
        <v>70</v>
      </c>
      <c r="E910" t="s">
        <v>13</v>
      </c>
      <c r="F910">
        <v>11.670801989999999</v>
      </c>
      <c r="G910">
        <v>76.361019659999997</v>
      </c>
      <c r="H910">
        <v>1</v>
      </c>
      <c r="I910" t="s">
        <v>14</v>
      </c>
      <c r="J910" t="s">
        <v>71</v>
      </c>
      <c r="K910">
        <f>IF(tbl_ChargingStation[[#This Row],[status]]="Operational",1,0)</f>
        <v>1</v>
      </c>
      <c r="L910">
        <f t="shared" si="28"/>
        <v>1</v>
      </c>
      <c r="M910" t="str">
        <f t="shared" si="29"/>
        <v>Kerala</v>
      </c>
    </row>
    <row r="911" spans="1:13">
      <c r="A911">
        <v>313776</v>
      </c>
      <c r="B911" t="s">
        <v>714</v>
      </c>
      <c r="C911" t="s">
        <v>526</v>
      </c>
      <c r="D911" t="s">
        <v>70</v>
      </c>
      <c r="E911" t="s">
        <v>13</v>
      </c>
      <c r="F911">
        <v>11.59777661</v>
      </c>
      <c r="G911">
        <v>76.08013837</v>
      </c>
      <c r="H911">
        <v>1</v>
      </c>
      <c r="I911" t="s">
        <v>14</v>
      </c>
      <c r="J911" t="s">
        <v>71</v>
      </c>
      <c r="K911">
        <f>IF(tbl_ChargingStation[[#This Row],[status]]="Operational",1,0)</f>
        <v>1</v>
      </c>
      <c r="L911">
        <f t="shared" si="28"/>
        <v>1</v>
      </c>
      <c r="M911" t="str">
        <f t="shared" si="29"/>
        <v>Kerala</v>
      </c>
    </row>
    <row r="912" spans="1:13">
      <c r="A912">
        <v>313775</v>
      </c>
      <c r="B912" t="s">
        <v>715</v>
      </c>
      <c r="C912" t="s">
        <v>716</v>
      </c>
      <c r="D912" t="s">
        <v>70</v>
      </c>
      <c r="E912" t="s">
        <v>13</v>
      </c>
      <c r="F912">
        <v>11.51834425</v>
      </c>
      <c r="G912">
        <v>76.021255699999998</v>
      </c>
      <c r="H912">
        <v>1</v>
      </c>
      <c r="I912" t="s">
        <v>14</v>
      </c>
      <c r="J912" t="s">
        <v>71</v>
      </c>
      <c r="K912">
        <f>IF(tbl_ChargingStation[[#This Row],[status]]="Operational",1,0)</f>
        <v>1</v>
      </c>
      <c r="L912">
        <f t="shared" si="28"/>
        <v>1</v>
      </c>
      <c r="M912" t="str">
        <f t="shared" si="29"/>
        <v>Kerala</v>
      </c>
    </row>
    <row r="913" spans="1:13">
      <c r="A913">
        <v>313773</v>
      </c>
      <c r="B913" t="s">
        <v>719</v>
      </c>
      <c r="C913" t="s">
        <v>720</v>
      </c>
      <c r="D913" t="s">
        <v>70</v>
      </c>
      <c r="E913" t="s">
        <v>13</v>
      </c>
      <c r="F913">
        <v>11.40469328</v>
      </c>
      <c r="G913">
        <v>75.929568059999994</v>
      </c>
      <c r="H913">
        <v>1</v>
      </c>
      <c r="I913" t="s">
        <v>14</v>
      </c>
      <c r="J913" t="s">
        <v>71</v>
      </c>
      <c r="K913">
        <f>IF(tbl_ChargingStation[[#This Row],[status]]="Operational",1,0)</f>
        <v>1</v>
      </c>
      <c r="L913">
        <f t="shared" si="28"/>
        <v>1</v>
      </c>
      <c r="M913" t="str">
        <f t="shared" si="29"/>
        <v>Kerala</v>
      </c>
    </row>
    <row r="914" spans="1:13">
      <c r="A914">
        <v>313761</v>
      </c>
      <c r="B914" t="s">
        <v>723</v>
      </c>
      <c r="C914" t="s">
        <v>538</v>
      </c>
      <c r="D914" t="s">
        <v>70</v>
      </c>
      <c r="E914" t="s">
        <v>13</v>
      </c>
      <c r="F914">
        <v>11.92755972</v>
      </c>
      <c r="G914">
        <v>75.500473150000005</v>
      </c>
      <c r="H914">
        <v>1</v>
      </c>
      <c r="I914" t="s">
        <v>14</v>
      </c>
      <c r="J914" t="s">
        <v>71</v>
      </c>
      <c r="K914">
        <f>IF(tbl_ChargingStation[[#This Row],[status]]="Operational",1,0)</f>
        <v>1</v>
      </c>
      <c r="L914">
        <f t="shared" si="28"/>
        <v>1</v>
      </c>
      <c r="M914" t="str">
        <f t="shared" si="29"/>
        <v>Kerala</v>
      </c>
    </row>
    <row r="915" spans="1:13">
      <c r="A915">
        <v>313760</v>
      </c>
      <c r="B915" t="s">
        <v>724</v>
      </c>
      <c r="C915" t="s">
        <v>725</v>
      </c>
      <c r="D915" t="s">
        <v>70</v>
      </c>
      <c r="E915" t="s">
        <v>13</v>
      </c>
      <c r="F915">
        <v>11.82580205</v>
      </c>
      <c r="G915">
        <v>75.508956710000007</v>
      </c>
      <c r="H915">
        <v>1</v>
      </c>
      <c r="I915" t="s">
        <v>14</v>
      </c>
      <c r="J915" t="s">
        <v>71</v>
      </c>
      <c r="K915">
        <f>IF(tbl_ChargingStation[[#This Row],[status]]="Operational",1,0)</f>
        <v>1</v>
      </c>
      <c r="L915">
        <f t="shared" si="28"/>
        <v>1</v>
      </c>
      <c r="M915" t="str">
        <f t="shared" si="29"/>
        <v>Kerala</v>
      </c>
    </row>
    <row r="916" spans="1:13">
      <c r="A916">
        <v>313759</v>
      </c>
      <c r="B916" t="s">
        <v>726</v>
      </c>
      <c r="C916" t="s">
        <v>727</v>
      </c>
      <c r="D916" t="s">
        <v>70</v>
      </c>
      <c r="E916" t="s">
        <v>13</v>
      </c>
      <c r="F916">
        <v>11.871663699999999</v>
      </c>
      <c r="G916">
        <v>75.395985859999996</v>
      </c>
      <c r="H916">
        <v>1</v>
      </c>
      <c r="I916" t="s">
        <v>14</v>
      </c>
      <c r="J916" t="s">
        <v>71</v>
      </c>
      <c r="K916">
        <f>IF(tbl_ChargingStation[[#This Row],[status]]="Operational",1,0)</f>
        <v>1</v>
      </c>
      <c r="L916">
        <f t="shared" si="28"/>
        <v>1</v>
      </c>
      <c r="M916" t="str">
        <f t="shared" si="29"/>
        <v>Kerala</v>
      </c>
    </row>
    <row r="917" spans="1:13">
      <c r="A917">
        <v>313756</v>
      </c>
      <c r="B917" t="s">
        <v>730</v>
      </c>
      <c r="C917" t="s">
        <v>731</v>
      </c>
      <c r="D917" t="s">
        <v>70</v>
      </c>
      <c r="E917" t="s">
        <v>13</v>
      </c>
      <c r="F917">
        <v>12.40580531</v>
      </c>
      <c r="G917">
        <v>75.096297609999993</v>
      </c>
      <c r="H917">
        <v>1</v>
      </c>
      <c r="I917" t="s">
        <v>14</v>
      </c>
      <c r="J917" t="s">
        <v>71</v>
      </c>
      <c r="K917">
        <f>IF(tbl_ChargingStation[[#This Row],[status]]="Operational",1,0)</f>
        <v>1</v>
      </c>
      <c r="L917">
        <f t="shared" si="28"/>
        <v>1</v>
      </c>
      <c r="M917" t="str">
        <f t="shared" si="29"/>
        <v>Kerala</v>
      </c>
    </row>
    <row r="918" spans="1:13">
      <c r="A918">
        <v>313755</v>
      </c>
      <c r="B918" t="s">
        <v>732</v>
      </c>
      <c r="C918" t="s">
        <v>545</v>
      </c>
      <c r="D918" t="s">
        <v>70</v>
      </c>
      <c r="E918" t="s">
        <v>13</v>
      </c>
      <c r="F918">
        <v>12.50597417</v>
      </c>
      <c r="G918">
        <v>74.986780890000006</v>
      </c>
      <c r="H918">
        <v>1</v>
      </c>
      <c r="I918" t="s">
        <v>14</v>
      </c>
      <c r="J918" t="s">
        <v>174</v>
      </c>
      <c r="K918">
        <f>IF(tbl_ChargingStation[[#This Row],[status]]="Operational",1,0)</f>
        <v>1</v>
      </c>
      <c r="L918">
        <f t="shared" si="28"/>
        <v>1</v>
      </c>
      <c r="M918" t="str">
        <f t="shared" si="29"/>
        <v>Kerala</v>
      </c>
    </row>
    <row r="919" spans="1:13">
      <c r="A919">
        <v>313747</v>
      </c>
      <c r="B919" t="s">
        <v>744</v>
      </c>
      <c r="C919" t="s">
        <v>534</v>
      </c>
      <c r="D919" t="s">
        <v>70</v>
      </c>
      <c r="E919" t="s">
        <v>13</v>
      </c>
      <c r="F919">
        <v>11.98556153</v>
      </c>
      <c r="G919">
        <v>75.676181659999997</v>
      </c>
      <c r="H919">
        <v>1</v>
      </c>
      <c r="I919" t="s">
        <v>14</v>
      </c>
      <c r="J919" t="s">
        <v>174</v>
      </c>
      <c r="K919">
        <f>IF(tbl_ChargingStation[[#This Row],[status]]="Operational",1,0)</f>
        <v>1</v>
      </c>
      <c r="L919">
        <f t="shared" si="28"/>
        <v>1</v>
      </c>
      <c r="M919" t="str">
        <f t="shared" si="29"/>
        <v>Kerala</v>
      </c>
    </row>
    <row r="920" spans="1:13">
      <c r="A920">
        <v>313746</v>
      </c>
      <c r="B920" t="s">
        <v>745</v>
      </c>
      <c r="C920" t="s">
        <v>746</v>
      </c>
      <c r="D920" t="s">
        <v>70</v>
      </c>
      <c r="E920" t="s">
        <v>13</v>
      </c>
      <c r="F920">
        <v>11.75486663</v>
      </c>
      <c r="G920">
        <v>75.57806506</v>
      </c>
      <c r="H920">
        <v>1</v>
      </c>
      <c r="I920" t="s">
        <v>14</v>
      </c>
      <c r="J920" t="s">
        <v>174</v>
      </c>
      <c r="K920">
        <f>IF(tbl_ChargingStation[[#This Row],[status]]="Operational",1,0)</f>
        <v>1</v>
      </c>
      <c r="L920">
        <f t="shared" si="28"/>
        <v>1</v>
      </c>
      <c r="M920" t="str">
        <f t="shared" si="29"/>
        <v>Kerala</v>
      </c>
    </row>
    <row r="921" spans="1:13">
      <c r="A921">
        <v>313745</v>
      </c>
      <c r="B921" t="s">
        <v>747</v>
      </c>
      <c r="C921" t="s">
        <v>748</v>
      </c>
      <c r="D921" t="s">
        <v>70</v>
      </c>
      <c r="E921" t="s">
        <v>13</v>
      </c>
      <c r="F921">
        <v>11.520444919999999</v>
      </c>
      <c r="G921">
        <v>75.617987740000004</v>
      </c>
      <c r="H921">
        <v>1</v>
      </c>
      <c r="I921" t="s">
        <v>14</v>
      </c>
      <c r="J921" t="s">
        <v>174</v>
      </c>
      <c r="K921">
        <f>IF(tbl_ChargingStation[[#This Row],[status]]="Operational",1,0)</f>
        <v>1</v>
      </c>
      <c r="L921">
        <f t="shared" si="28"/>
        <v>1</v>
      </c>
      <c r="M921" t="str">
        <f t="shared" si="29"/>
        <v>Kerala</v>
      </c>
    </row>
    <row r="922" spans="1:13">
      <c r="A922">
        <v>313744</v>
      </c>
      <c r="B922" t="s">
        <v>749</v>
      </c>
      <c r="C922" t="s">
        <v>750</v>
      </c>
      <c r="D922" t="s">
        <v>70</v>
      </c>
      <c r="E922" t="s">
        <v>13</v>
      </c>
      <c r="F922">
        <v>11.64890104</v>
      </c>
      <c r="G922">
        <v>75.755936480000003</v>
      </c>
      <c r="H922">
        <v>1</v>
      </c>
      <c r="I922" t="s">
        <v>14</v>
      </c>
      <c r="J922" t="s">
        <v>174</v>
      </c>
      <c r="K922">
        <f>IF(tbl_ChargingStation[[#This Row],[status]]="Operational",1,0)</f>
        <v>1</v>
      </c>
      <c r="L922">
        <f t="shared" si="28"/>
        <v>1</v>
      </c>
      <c r="M922" t="str">
        <f t="shared" si="29"/>
        <v>Kerala</v>
      </c>
    </row>
    <row r="923" spans="1:13">
      <c r="A923">
        <v>313733</v>
      </c>
      <c r="B923" t="s">
        <v>766</v>
      </c>
      <c r="C923" t="s">
        <v>197</v>
      </c>
      <c r="D923" t="s">
        <v>70</v>
      </c>
      <c r="E923" t="s">
        <v>13</v>
      </c>
      <c r="F923">
        <v>11.28067356</v>
      </c>
      <c r="G923">
        <v>75.824631670000002</v>
      </c>
      <c r="H923">
        <v>1</v>
      </c>
      <c r="I923" t="s">
        <v>14</v>
      </c>
      <c r="J923" t="s">
        <v>174</v>
      </c>
      <c r="K923">
        <f>IF(tbl_ChargingStation[[#This Row],[status]]="Operational",1,0)</f>
        <v>1</v>
      </c>
      <c r="L923">
        <f t="shared" si="28"/>
        <v>1</v>
      </c>
      <c r="M923" t="str">
        <f t="shared" si="29"/>
        <v>Kerala</v>
      </c>
    </row>
    <row r="924" spans="1:13">
      <c r="A924">
        <v>313732</v>
      </c>
      <c r="B924" t="s">
        <v>767</v>
      </c>
      <c r="C924" t="s">
        <v>197</v>
      </c>
      <c r="D924" t="s">
        <v>70</v>
      </c>
      <c r="E924" t="s">
        <v>13</v>
      </c>
      <c r="F924">
        <v>11.28081467</v>
      </c>
      <c r="G924">
        <v>75.824349769999998</v>
      </c>
      <c r="H924">
        <v>1</v>
      </c>
      <c r="I924" t="s">
        <v>14</v>
      </c>
      <c r="J924" t="s">
        <v>174</v>
      </c>
      <c r="K924">
        <f>IF(tbl_ChargingStation[[#This Row],[status]]="Operational",1,0)</f>
        <v>1</v>
      </c>
      <c r="L924">
        <f t="shared" si="28"/>
        <v>1</v>
      </c>
      <c r="M924" t="str">
        <f t="shared" si="29"/>
        <v>Kerala</v>
      </c>
    </row>
    <row r="925" spans="1:13">
      <c r="A925">
        <v>313731</v>
      </c>
      <c r="B925" t="s">
        <v>768</v>
      </c>
      <c r="C925" t="s">
        <v>769</v>
      </c>
      <c r="D925" t="s">
        <v>70</v>
      </c>
      <c r="E925" t="s">
        <v>13</v>
      </c>
      <c r="F925">
        <v>11.427675410000001</v>
      </c>
      <c r="G925">
        <v>75.702996240000004</v>
      </c>
      <c r="H925">
        <v>1</v>
      </c>
      <c r="I925" t="s">
        <v>14</v>
      </c>
      <c r="J925" t="s">
        <v>174</v>
      </c>
      <c r="K925">
        <f>IF(tbl_ChargingStation[[#This Row],[status]]="Operational",1,0)</f>
        <v>1</v>
      </c>
      <c r="L925">
        <f t="shared" si="28"/>
        <v>1</v>
      </c>
      <c r="M925" t="str">
        <f t="shared" si="29"/>
        <v>Kerala</v>
      </c>
    </row>
    <row r="926" spans="1:13">
      <c r="A926">
        <v>313729</v>
      </c>
      <c r="B926" t="s">
        <v>770</v>
      </c>
      <c r="C926" t="s">
        <v>771</v>
      </c>
      <c r="D926" t="s">
        <v>357</v>
      </c>
      <c r="E926" t="s">
        <v>13</v>
      </c>
      <c r="F926">
        <v>12.352687400000001</v>
      </c>
      <c r="G926">
        <v>76.6292033</v>
      </c>
      <c r="H926">
        <v>1</v>
      </c>
      <c r="I926" t="s">
        <v>14</v>
      </c>
      <c r="J926" t="s">
        <v>198</v>
      </c>
      <c r="K926">
        <f>IF(tbl_ChargingStation[[#This Row],[status]]="Operational",1,0)</f>
        <v>1</v>
      </c>
      <c r="L926">
        <f t="shared" si="28"/>
        <v>1</v>
      </c>
      <c r="M926" t="str">
        <f t="shared" si="29"/>
        <v>Karnataka</v>
      </c>
    </row>
    <row r="927" spans="1:13">
      <c r="A927">
        <v>313728</v>
      </c>
      <c r="B927" t="s">
        <v>772</v>
      </c>
      <c r="C927" t="s">
        <v>771</v>
      </c>
      <c r="D927" t="s">
        <v>357</v>
      </c>
      <c r="E927" t="s">
        <v>13</v>
      </c>
      <c r="F927">
        <v>12.350145879999999</v>
      </c>
      <c r="G927">
        <v>76.660198910000005</v>
      </c>
      <c r="H927">
        <v>1</v>
      </c>
      <c r="I927" t="s">
        <v>14</v>
      </c>
      <c r="J927" t="s">
        <v>198</v>
      </c>
      <c r="K927">
        <f>IF(tbl_ChargingStation[[#This Row],[status]]="Operational",1,0)</f>
        <v>1</v>
      </c>
      <c r="L927">
        <f t="shared" si="28"/>
        <v>1</v>
      </c>
      <c r="M927" t="str">
        <f t="shared" si="29"/>
        <v>Karnataka</v>
      </c>
    </row>
    <row r="928" spans="1:13">
      <c r="A928">
        <v>313726</v>
      </c>
      <c r="B928" t="s">
        <v>775</v>
      </c>
      <c r="C928" t="s">
        <v>197</v>
      </c>
      <c r="D928" t="s">
        <v>70</v>
      </c>
      <c r="E928" t="s">
        <v>13</v>
      </c>
      <c r="F928">
        <v>11.262784460000001</v>
      </c>
      <c r="G928">
        <v>75.76824105</v>
      </c>
      <c r="H928">
        <v>1</v>
      </c>
      <c r="I928" t="s">
        <v>14</v>
      </c>
      <c r="J928" t="s">
        <v>174</v>
      </c>
      <c r="K928">
        <f>IF(tbl_ChargingStation[[#This Row],[status]]="Operational",1,0)</f>
        <v>1</v>
      </c>
      <c r="L928">
        <f t="shared" si="28"/>
        <v>1</v>
      </c>
      <c r="M928" t="str">
        <f t="shared" si="29"/>
        <v>Kerala</v>
      </c>
    </row>
    <row r="929" spans="1:13">
      <c r="A929">
        <v>313725</v>
      </c>
      <c r="B929" t="s">
        <v>776</v>
      </c>
      <c r="C929" t="s">
        <v>777</v>
      </c>
      <c r="D929" t="s">
        <v>70</v>
      </c>
      <c r="E929" t="s">
        <v>13</v>
      </c>
      <c r="F929">
        <v>11.38662806</v>
      </c>
      <c r="G929">
        <v>76.35472249</v>
      </c>
      <c r="H929">
        <v>1</v>
      </c>
      <c r="I929" t="s">
        <v>14</v>
      </c>
      <c r="J929" t="s">
        <v>174</v>
      </c>
      <c r="K929">
        <f>IF(tbl_ChargingStation[[#This Row],[status]]="Operational",1,0)</f>
        <v>1</v>
      </c>
      <c r="L929">
        <f t="shared" si="28"/>
        <v>1</v>
      </c>
      <c r="M929" t="str">
        <f t="shared" si="29"/>
        <v>Kerala</v>
      </c>
    </row>
    <row r="930" spans="1:13">
      <c r="A930">
        <v>313724</v>
      </c>
      <c r="B930" t="s">
        <v>778</v>
      </c>
      <c r="C930" t="s">
        <v>257</v>
      </c>
      <c r="D930" t="s">
        <v>70</v>
      </c>
      <c r="E930" t="s">
        <v>13</v>
      </c>
      <c r="F930">
        <v>11.245323150000001</v>
      </c>
      <c r="G930">
        <v>75.977491749999999</v>
      </c>
      <c r="H930">
        <v>1</v>
      </c>
      <c r="I930" t="s">
        <v>14</v>
      </c>
      <c r="J930" t="s">
        <v>174</v>
      </c>
      <c r="K930">
        <f>IF(tbl_ChargingStation[[#This Row],[status]]="Operational",1,0)</f>
        <v>1</v>
      </c>
      <c r="L930">
        <f t="shared" si="28"/>
        <v>1</v>
      </c>
      <c r="M930" t="str">
        <f t="shared" si="29"/>
        <v>Kerala</v>
      </c>
    </row>
    <row r="931" spans="1:13">
      <c r="A931">
        <v>313723</v>
      </c>
      <c r="B931" t="s">
        <v>779</v>
      </c>
      <c r="C931" t="s">
        <v>780</v>
      </c>
      <c r="D931" t="s">
        <v>70</v>
      </c>
      <c r="E931" t="s">
        <v>13</v>
      </c>
      <c r="F931">
        <v>11.18074376</v>
      </c>
      <c r="G931">
        <v>75.851198640000007</v>
      </c>
      <c r="H931">
        <v>1</v>
      </c>
      <c r="I931" t="s">
        <v>14</v>
      </c>
      <c r="J931" t="s">
        <v>174</v>
      </c>
      <c r="K931">
        <f>IF(tbl_ChargingStation[[#This Row],[status]]="Operational",1,0)</f>
        <v>1</v>
      </c>
      <c r="L931">
        <f t="shared" si="28"/>
        <v>1</v>
      </c>
      <c r="M931" t="str">
        <f t="shared" si="29"/>
        <v>Kerala</v>
      </c>
    </row>
    <row r="932" spans="1:13">
      <c r="A932">
        <v>313722</v>
      </c>
      <c r="B932" t="s">
        <v>781</v>
      </c>
      <c r="C932" t="s">
        <v>782</v>
      </c>
      <c r="D932" t="s">
        <v>70</v>
      </c>
      <c r="E932" t="s">
        <v>13</v>
      </c>
      <c r="F932">
        <v>11.168867779999999</v>
      </c>
      <c r="G932">
        <v>75.926768629999998</v>
      </c>
      <c r="H932">
        <v>1</v>
      </c>
      <c r="I932" t="s">
        <v>14</v>
      </c>
      <c r="J932" t="s">
        <v>174</v>
      </c>
      <c r="K932">
        <f>IF(tbl_ChargingStation[[#This Row],[status]]="Operational",1,0)</f>
        <v>1</v>
      </c>
      <c r="L932">
        <f t="shared" si="28"/>
        <v>1</v>
      </c>
      <c r="M932" t="str">
        <f t="shared" si="29"/>
        <v>Kerala</v>
      </c>
    </row>
    <row r="933" spans="1:13">
      <c r="A933">
        <v>313721</v>
      </c>
      <c r="B933" t="s">
        <v>767</v>
      </c>
      <c r="C933" t="s">
        <v>783</v>
      </c>
      <c r="D933" t="s">
        <v>70</v>
      </c>
      <c r="E933" t="s">
        <v>13</v>
      </c>
      <c r="F933">
        <v>11.17327991</v>
      </c>
      <c r="G933">
        <v>75.902151799999999</v>
      </c>
      <c r="H933">
        <v>1</v>
      </c>
      <c r="I933" t="s">
        <v>14</v>
      </c>
      <c r="J933" t="s">
        <v>174</v>
      </c>
      <c r="K933">
        <f>IF(tbl_ChargingStation[[#This Row],[status]]="Operational",1,0)</f>
        <v>1</v>
      </c>
      <c r="L933">
        <f t="shared" si="28"/>
        <v>1</v>
      </c>
      <c r="M933" t="str">
        <f t="shared" si="29"/>
        <v>Kerala</v>
      </c>
    </row>
    <row r="934" spans="1:13">
      <c r="A934">
        <v>313715</v>
      </c>
      <c r="B934" t="s">
        <v>793</v>
      </c>
      <c r="C934" t="s">
        <v>504</v>
      </c>
      <c r="D934" t="s">
        <v>70</v>
      </c>
      <c r="E934" t="s">
        <v>13</v>
      </c>
      <c r="F934">
        <v>11.12303335</v>
      </c>
      <c r="G934">
        <v>76.115868430000006</v>
      </c>
      <c r="H934">
        <v>1</v>
      </c>
      <c r="I934" t="s">
        <v>14</v>
      </c>
      <c r="J934" t="s">
        <v>174</v>
      </c>
      <c r="K934">
        <f>IF(tbl_ChargingStation[[#This Row],[status]]="Operational",1,0)</f>
        <v>1</v>
      </c>
      <c r="L934">
        <f t="shared" si="28"/>
        <v>1</v>
      </c>
      <c r="M934" t="str">
        <f t="shared" si="29"/>
        <v>Kerala</v>
      </c>
    </row>
    <row r="935" spans="1:13">
      <c r="A935">
        <v>313714</v>
      </c>
      <c r="B935" t="s">
        <v>794</v>
      </c>
      <c r="C935" t="s">
        <v>504</v>
      </c>
      <c r="D935" t="s">
        <v>70</v>
      </c>
      <c r="E935" t="s">
        <v>13</v>
      </c>
      <c r="F935">
        <v>11.12341107</v>
      </c>
      <c r="G935">
        <v>76.124185159999996</v>
      </c>
      <c r="H935">
        <v>1</v>
      </c>
      <c r="I935" t="s">
        <v>14</v>
      </c>
      <c r="J935" t="s">
        <v>174</v>
      </c>
      <c r="K935">
        <f>IF(tbl_ChargingStation[[#This Row],[status]]="Operational",1,0)</f>
        <v>1</v>
      </c>
      <c r="L935">
        <f t="shared" si="28"/>
        <v>1</v>
      </c>
      <c r="M935" t="str">
        <f t="shared" si="29"/>
        <v>Kerala</v>
      </c>
    </row>
    <row r="936" spans="1:13">
      <c r="A936">
        <v>313711</v>
      </c>
      <c r="B936" t="s">
        <v>798</v>
      </c>
      <c r="C936" t="s">
        <v>799</v>
      </c>
      <c r="D936" t="s">
        <v>70</v>
      </c>
      <c r="E936" t="s">
        <v>13</v>
      </c>
      <c r="F936">
        <v>11.03450239</v>
      </c>
      <c r="G936">
        <v>76.261886610000005</v>
      </c>
      <c r="H936">
        <v>1</v>
      </c>
      <c r="I936" t="s">
        <v>14</v>
      </c>
      <c r="J936" t="s">
        <v>174</v>
      </c>
      <c r="K936">
        <f>IF(tbl_ChargingStation[[#This Row],[status]]="Operational",1,0)</f>
        <v>1</v>
      </c>
      <c r="L936">
        <f t="shared" si="28"/>
        <v>1</v>
      </c>
      <c r="M936" t="str">
        <f t="shared" si="29"/>
        <v>Kerala</v>
      </c>
    </row>
    <row r="937" spans="1:13">
      <c r="A937">
        <v>313705</v>
      </c>
      <c r="B937" t="s">
        <v>807</v>
      </c>
      <c r="C937" t="s">
        <v>808</v>
      </c>
      <c r="D937" t="s">
        <v>70</v>
      </c>
      <c r="E937" t="s">
        <v>13</v>
      </c>
      <c r="F937">
        <v>10.83949185</v>
      </c>
      <c r="G937">
        <v>76.579999709999996</v>
      </c>
      <c r="H937">
        <v>1</v>
      </c>
      <c r="I937" t="s">
        <v>14</v>
      </c>
      <c r="J937" t="s">
        <v>174</v>
      </c>
      <c r="K937">
        <f>IF(tbl_ChargingStation[[#This Row],[status]]="Operational",1,0)</f>
        <v>1</v>
      </c>
      <c r="L937">
        <f t="shared" si="28"/>
        <v>1</v>
      </c>
      <c r="M937" t="str">
        <f t="shared" si="29"/>
        <v>Kerala</v>
      </c>
    </row>
    <row r="938" spans="1:13">
      <c r="A938">
        <v>313704</v>
      </c>
      <c r="B938" t="s">
        <v>809</v>
      </c>
      <c r="C938" t="s">
        <v>810</v>
      </c>
      <c r="D938" t="s">
        <v>70</v>
      </c>
      <c r="E938" t="s">
        <v>13</v>
      </c>
      <c r="F938">
        <v>10.89808011</v>
      </c>
      <c r="G938">
        <v>76.395295649999994</v>
      </c>
      <c r="H938">
        <v>1</v>
      </c>
      <c r="I938" t="s">
        <v>14</v>
      </c>
      <c r="J938" t="s">
        <v>174</v>
      </c>
      <c r="K938">
        <f>IF(tbl_ChargingStation[[#This Row],[status]]="Operational",1,0)</f>
        <v>1</v>
      </c>
      <c r="L938">
        <f t="shared" si="28"/>
        <v>1</v>
      </c>
      <c r="M938" t="str">
        <f t="shared" si="29"/>
        <v>Kerala</v>
      </c>
    </row>
    <row r="939" spans="1:13">
      <c r="A939">
        <v>313701</v>
      </c>
      <c r="B939" t="s">
        <v>814</v>
      </c>
      <c r="C939" t="s">
        <v>487</v>
      </c>
      <c r="D939" t="s">
        <v>70</v>
      </c>
      <c r="E939" t="s">
        <v>13</v>
      </c>
      <c r="F939">
        <v>10.87826592</v>
      </c>
      <c r="G939">
        <v>76.187606619999997</v>
      </c>
      <c r="H939">
        <v>1</v>
      </c>
      <c r="I939" t="s">
        <v>14</v>
      </c>
      <c r="J939" t="s">
        <v>174</v>
      </c>
      <c r="K939">
        <f>IF(tbl_ChargingStation[[#This Row],[status]]="Operational",1,0)</f>
        <v>1</v>
      </c>
      <c r="L939">
        <f t="shared" si="28"/>
        <v>1</v>
      </c>
      <c r="M939" t="str">
        <f t="shared" si="29"/>
        <v>Kerala</v>
      </c>
    </row>
    <row r="940" spans="1:13">
      <c r="A940">
        <v>313699</v>
      </c>
      <c r="B940" t="s">
        <v>816</v>
      </c>
      <c r="C940" t="s">
        <v>817</v>
      </c>
      <c r="D940" t="s">
        <v>70</v>
      </c>
      <c r="E940" t="s">
        <v>13</v>
      </c>
      <c r="F940">
        <v>10.758293200000001</v>
      </c>
      <c r="G940">
        <v>76.130366449999997</v>
      </c>
      <c r="H940">
        <v>1</v>
      </c>
      <c r="I940" t="s">
        <v>14</v>
      </c>
      <c r="J940" t="s">
        <v>174</v>
      </c>
      <c r="K940">
        <f>IF(tbl_ChargingStation[[#This Row],[status]]="Operational",1,0)</f>
        <v>1</v>
      </c>
      <c r="L940">
        <f t="shared" si="28"/>
        <v>1</v>
      </c>
      <c r="M940" t="str">
        <f t="shared" si="29"/>
        <v>Kerala</v>
      </c>
    </row>
    <row r="941" spans="1:13">
      <c r="A941">
        <v>313697</v>
      </c>
      <c r="B941" t="s">
        <v>819</v>
      </c>
      <c r="C941" t="s">
        <v>697</v>
      </c>
      <c r="D941" t="s">
        <v>70</v>
      </c>
      <c r="E941" t="s">
        <v>13</v>
      </c>
      <c r="F941">
        <v>10.73260554</v>
      </c>
      <c r="G941">
        <v>76.037430069999999</v>
      </c>
      <c r="H941">
        <v>1</v>
      </c>
      <c r="I941" t="s">
        <v>14</v>
      </c>
      <c r="J941" t="s">
        <v>174</v>
      </c>
      <c r="K941">
        <f>IF(tbl_ChargingStation[[#This Row],[status]]="Operational",1,0)</f>
        <v>1</v>
      </c>
      <c r="L941">
        <f t="shared" si="28"/>
        <v>1</v>
      </c>
      <c r="M941" t="str">
        <f t="shared" si="29"/>
        <v>Kerala</v>
      </c>
    </row>
    <row r="942" spans="1:13">
      <c r="A942">
        <v>313695</v>
      </c>
      <c r="B942" t="s">
        <v>822</v>
      </c>
      <c r="C942" t="s">
        <v>823</v>
      </c>
      <c r="D942" t="s">
        <v>70</v>
      </c>
      <c r="E942" t="s">
        <v>13</v>
      </c>
      <c r="F942">
        <v>10.78474624</v>
      </c>
      <c r="G942">
        <v>75.947152360000004</v>
      </c>
      <c r="H942">
        <v>1</v>
      </c>
      <c r="I942" t="s">
        <v>14</v>
      </c>
      <c r="J942" t="s">
        <v>174</v>
      </c>
      <c r="K942">
        <f>IF(tbl_ChargingStation[[#This Row],[status]]="Operational",1,0)</f>
        <v>1</v>
      </c>
      <c r="L942">
        <f t="shared" si="28"/>
        <v>1</v>
      </c>
      <c r="M942" t="str">
        <f t="shared" si="29"/>
        <v>Kerala</v>
      </c>
    </row>
    <row r="943" spans="1:13">
      <c r="A943">
        <v>313688</v>
      </c>
      <c r="B943" t="s">
        <v>830</v>
      </c>
      <c r="C943" t="s">
        <v>831</v>
      </c>
      <c r="D943" t="s">
        <v>70</v>
      </c>
      <c r="E943" t="s">
        <v>13</v>
      </c>
      <c r="F943">
        <v>10.605823669999999</v>
      </c>
      <c r="G943">
        <v>76.211787630000003</v>
      </c>
      <c r="H943">
        <v>1</v>
      </c>
      <c r="I943" t="s">
        <v>14</v>
      </c>
      <c r="J943" t="s">
        <v>174</v>
      </c>
      <c r="K943">
        <f>IF(tbl_ChargingStation[[#This Row],[status]]="Operational",1,0)</f>
        <v>1</v>
      </c>
      <c r="L943">
        <f t="shared" si="28"/>
        <v>1</v>
      </c>
      <c r="M943" t="str">
        <f t="shared" si="29"/>
        <v>Kerala</v>
      </c>
    </row>
    <row r="944" spans="1:13">
      <c r="A944">
        <v>313679</v>
      </c>
      <c r="B944" t="s">
        <v>835</v>
      </c>
      <c r="C944" t="s">
        <v>169</v>
      </c>
      <c r="D944" t="s">
        <v>70</v>
      </c>
      <c r="E944" t="s">
        <v>13</v>
      </c>
      <c r="F944">
        <v>10.522036160000001</v>
      </c>
      <c r="G944">
        <v>76.227568899999994</v>
      </c>
      <c r="H944">
        <v>1</v>
      </c>
      <c r="I944" t="s">
        <v>14</v>
      </c>
      <c r="J944" t="s">
        <v>174</v>
      </c>
      <c r="K944">
        <f>IF(tbl_ChargingStation[[#This Row],[status]]="Operational",1,0)</f>
        <v>1</v>
      </c>
      <c r="L944">
        <f t="shared" si="28"/>
        <v>1</v>
      </c>
      <c r="M944" t="str">
        <f t="shared" si="29"/>
        <v>Kerala</v>
      </c>
    </row>
    <row r="945" spans="1:13">
      <c r="A945">
        <v>313678</v>
      </c>
      <c r="B945" t="s">
        <v>836</v>
      </c>
      <c r="C945" t="s">
        <v>837</v>
      </c>
      <c r="D945" t="s">
        <v>70</v>
      </c>
      <c r="E945" t="s">
        <v>13</v>
      </c>
      <c r="F945">
        <v>10.51150301</v>
      </c>
      <c r="G945">
        <v>76.221124259999996</v>
      </c>
      <c r="H945">
        <v>1</v>
      </c>
      <c r="I945" t="s">
        <v>41</v>
      </c>
      <c r="J945" t="s">
        <v>174</v>
      </c>
      <c r="K945">
        <f>IF(tbl_ChargingStation[[#This Row],[status]]="Operational",1,0)</f>
        <v>0</v>
      </c>
      <c r="L945">
        <f t="shared" si="28"/>
        <v>0</v>
      </c>
      <c r="M945" t="str">
        <f t="shared" si="29"/>
        <v>Kerala</v>
      </c>
    </row>
    <row r="946" spans="1:13">
      <c r="A946">
        <v>313676</v>
      </c>
      <c r="B946" t="s">
        <v>839</v>
      </c>
      <c r="C946" t="s">
        <v>840</v>
      </c>
      <c r="D946" t="s">
        <v>70</v>
      </c>
      <c r="E946" t="s">
        <v>13</v>
      </c>
      <c r="F946">
        <v>10.49768853</v>
      </c>
      <c r="G946">
        <v>76.064642259999999</v>
      </c>
      <c r="H946">
        <v>1</v>
      </c>
      <c r="I946" t="s">
        <v>14</v>
      </c>
      <c r="J946" t="s">
        <v>174</v>
      </c>
      <c r="K946">
        <f>IF(tbl_ChargingStation[[#This Row],[status]]="Operational",1,0)</f>
        <v>1</v>
      </c>
      <c r="L946">
        <f t="shared" si="28"/>
        <v>1</v>
      </c>
      <c r="M946" t="str">
        <f t="shared" si="29"/>
        <v>Kerala</v>
      </c>
    </row>
    <row r="947" spans="1:13">
      <c r="A947">
        <v>313670</v>
      </c>
      <c r="B947" t="s">
        <v>848</v>
      </c>
      <c r="C947" t="s">
        <v>849</v>
      </c>
      <c r="D947" t="s">
        <v>70</v>
      </c>
      <c r="E947" t="s">
        <v>13</v>
      </c>
      <c r="F947">
        <v>10.3314231</v>
      </c>
      <c r="G947">
        <v>76.21526077</v>
      </c>
      <c r="H947">
        <v>1</v>
      </c>
      <c r="I947" t="s">
        <v>14</v>
      </c>
      <c r="J947" t="s">
        <v>174</v>
      </c>
      <c r="K947">
        <f>IF(tbl_ChargingStation[[#This Row],[status]]="Operational",1,0)</f>
        <v>1</v>
      </c>
      <c r="L947">
        <f t="shared" si="28"/>
        <v>1</v>
      </c>
      <c r="M947" t="str">
        <f t="shared" si="29"/>
        <v>Kerala</v>
      </c>
    </row>
    <row r="948" spans="1:13">
      <c r="A948">
        <v>313669</v>
      </c>
      <c r="B948" t="s">
        <v>850</v>
      </c>
      <c r="C948" t="s">
        <v>851</v>
      </c>
      <c r="D948" t="s">
        <v>70</v>
      </c>
      <c r="E948" t="s">
        <v>13</v>
      </c>
      <c r="F948">
        <v>10.59340334</v>
      </c>
      <c r="G948">
        <v>76.583525199999997</v>
      </c>
      <c r="H948">
        <v>1</v>
      </c>
      <c r="I948" t="s">
        <v>14</v>
      </c>
      <c r="J948" t="s">
        <v>174</v>
      </c>
      <c r="K948">
        <f>IF(tbl_ChargingStation[[#This Row],[status]]="Operational",1,0)</f>
        <v>1</v>
      </c>
      <c r="L948">
        <f t="shared" si="28"/>
        <v>1</v>
      </c>
      <c r="M948" t="str">
        <f t="shared" si="29"/>
        <v>Kerala</v>
      </c>
    </row>
    <row r="949" spans="1:13">
      <c r="A949">
        <v>313658</v>
      </c>
      <c r="B949" t="s">
        <v>858</v>
      </c>
      <c r="C949" t="s">
        <v>169</v>
      </c>
      <c r="D949" t="s">
        <v>70</v>
      </c>
      <c r="E949" t="s">
        <v>13</v>
      </c>
      <c r="F949">
        <v>10.367048479999999</v>
      </c>
      <c r="G949">
        <v>76.31535658</v>
      </c>
      <c r="H949">
        <v>1</v>
      </c>
      <c r="I949" t="s">
        <v>14</v>
      </c>
      <c r="J949" t="s">
        <v>174</v>
      </c>
      <c r="K949">
        <f>IF(tbl_ChargingStation[[#This Row],[status]]="Operational",1,0)</f>
        <v>1</v>
      </c>
      <c r="L949">
        <f t="shared" si="28"/>
        <v>1</v>
      </c>
      <c r="M949" t="str">
        <f t="shared" si="29"/>
        <v>Kerala</v>
      </c>
    </row>
    <row r="950" spans="1:13">
      <c r="A950">
        <v>313655</v>
      </c>
      <c r="B950" t="s">
        <v>860</v>
      </c>
      <c r="C950" t="s">
        <v>859</v>
      </c>
      <c r="D950" t="s">
        <v>70</v>
      </c>
      <c r="E950" t="s">
        <v>13</v>
      </c>
      <c r="F950">
        <v>10.30310177</v>
      </c>
      <c r="G950">
        <v>76.337042240000002</v>
      </c>
      <c r="H950">
        <v>1</v>
      </c>
      <c r="I950" t="s">
        <v>14</v>
      </c>
      <c r="J950" t="s">
        <v>174</v>
      </c>
      <c r="K950">
        <f>IF(tbl_ChargingStation[[#This Row],[status]]="Operational",1,0)</f>
        <v>1</v>
      </c>
      <c r="L950">
        <f t="shared" si="28"/>
        <v>1</v>
      </c>
      <c r="M950" t="str">
        <f t="shared" si="29"/>
        <v>Kerala</v>
      </c>
    </row>
    <row r="951" spans="1:13">
      <c r="A951">
        <v>313654</v>
      </c>
      <c r="B951" t="s">
        <v>861</v>
      </c>
      <c r="C951" t="s">
        <v>862</v>
      </c>
      <c r="D951" t="s">
        <v>70</v>
      </c>
      <c r="E951" t="s">
        <v>13</v>
      </c>
      <c r="F951">
        <v>10.289343300000001</v>
      </c>
      <c r="G951">
        <v>76.337068200000004</v>
      </c>
      <c r="H951">
        <v>1</v>
      </c>
      <c r="I951" t="s">
        <v>14</v>
      </c>
      <c r="J951" t="s">
        <v>174</v>
      </c>
      <c r="K951">
        <f>IF(tbl_ChargingStation[[#This Row],[status]]="Operational",1,0)</f>
        <v>1</v>
      </c>
      <c r="L951">
        <f t="shared" si="28"/>
        <v>1</v>
      </c>
      <c r="M951" t="str">
        <f t="shared" si="29"/>
        <v>Kerala</v>
      </c>
    </row>
    <row r="952" spans="1:13">
      <c r="A952">
        <v>313653</v>
      </c>
      <c r="B952" t="s">
        <v>863</v>
      </c>
      <c r="C952" t="s">
        <v>862</v>
      </c>
      <c r="D952" t="s">
        <v>70</v>
      </c>
      <c r="E952" t="s">
        <v>13</v>
      </c>
      <c r="F952">
        <v>10.28557423</v>
      </c>
      <c r="G952">
        <v>76.342377650000003</v>
      </c>
      <c r="H952">
        <v>1</v>
      </c>
      <c r="I952" t="s">
        <v>14</v>
      </c>
      <c r="J952" t="s">
        <v>174</v>
      </c>
      <c r="K952">
        <f>IF(tbl_ChargingStation[[#This Row],[status]]="Operational",1,0)</f>
        <v>1</v>
      </c>
      <c r="L952">
        <f t="shared" si="28"/>
        <v>1</v>
      </c>
      <c r="M952" t="str">
        <f t="shared" si="29"/>
        <v>Kerala</v>
      </c>
    </row>
    <row r="953" spans="1:13">
      <c r="A953">
        <v>313649</v>
      </c>
      <c r="B953" t="s">
        <v>866</v>
      </c>
      <c r="C953" t="s">
        <v>483</v>
      </c>
      <c r="D953" t="s">
        <v>70</v>
      </c>
      <c r="E953" t="s">
        <v>13</v>
      </c>
      <c r="F953">
        <v>10.21406148</v>
      </c>
      <c r="G953">
        <v>76.379367290000005</v>
      </c>
      <c r="H953">
        <v>1</v>
      </c>
      <c r="I953" t="s">
        <v>14</v>
      </c>
      <c r="J953" t="s">
        <v>174</v>
      </c>
      <c r="K953">
        <f>IF(tbl_ChargingStation[[#This Row],[status]]="Operational",1,0)</f>
        <v>1</v>
      </c>
      <c r="L953">
        <f t="shared" si="28"/>
        <v>1</v>
      </c>
      <c r="M953" t="str">
        <f t="shared" si="29"/>
        <v>Kerala</v>
      </c>
    </row>
    <row r="954" spans="1:13">
      <c r="A954">
        <v>313643</v>
      </c>
      <c r="B954" t="s">
        <v>872</v>
      </c>
      <c r="C954" t="s">
        <v>478</v>
      </c>
      <c r="D954" t="s">
        <v>70</v>
      </c>
      <c r="E954" t="s">
        <v>13</v>
      </c>
      <c r="F954">
        <v>10.159914479999999</v>
      </c>
      <c r="G954">
        <v>76.389158269999996</v>
      </c>
      <c r="H954">
        <v>1</v>
      </c>
      <c r="I954" t="s">
        <v>14</v>
      </c>
      <c r="J954" t="s">
        <v>174</v>
      </c>
      <c r="K954">
        <f>IF(tbl_ChargingStation[[#This Row],[status]]="Operational",1,0)</f>
        <v>1</v>
      </c>
      <c r="L954">
        <f t="shared" si="28"/>
        <v>1</v>
      </c>
      <c r="M954" t="str">
        <f t="shared" si="29"/>
        <v>Kerala</v>
      </c>
    </row>
    <row r="955" spans="1:13">
      <c r="A955">
        <v>313642</v>
      </c>
      <c r="B955" t="s">
        <v>873</v>
      </c>
      <c r="C955" t="s">
        <v>478</v>
      </c>
      <c r="D955" t="s">
        <v>70</v>
      </c>
      <c r="E955" t="s">
        <v>13</v>
      </c>
      <c r="F955">
        <v>10.161062060000001</v>
      </c>
      <c r="G955">
        <v>76.38563078</v>
      </c>
      <c r="H955">
        <v>1</v>
      </c>
      <c r="I955" t="s">
        <v>14</v>
      </c>
      <c r="J955" t="s">
        <v>174</v>
      </c>
      <c r="K955">
        <f>IF(tbl_ChargingStation[[#This Row],[status]]="Operational",1,0)</f>
        <v>1</v>
      </c>
      <c r="L955">
        <f t="shared" si="28"/>
        <v>1</v>
      </c>
      <c r="M955" t="str">
        <f t="shared" si="29"/>
        <v>Kerala</v>
      </c>
    </row>
    <row r="956" spans="1:13">
      <c r="A956">
        <v>313641</v>
      </c>
      <c r="B956" t="s">
        <v>874</v>
      </c>
      <c r="C956" t="s">
        <v>478</v>
      </c>
      <c r="D956" t="s">
        <v>70</v>
      </c>
      <c r="E956" t="s">
        <v>13</v>
      </c>
      <c r="F956">
        <v>10.15929513</v>
      </c>
      <c r="G956">
        <v>76.378522880000006</v>
      </c>
      <c r="H956">
        <v>1</v>
      </c>
      <c r="I956" t="s">
        <v>41</v>
      </c>
      <c r="J956" t="s">
        <v>174</v>
      </c>
      <c r="K956">
        <f>IF(tbl_ChargingStation[[#This Row],[status]]="Operational",1,0)</f>
        <v>0</v>
      </c>
      <c r="L956">
        <f t="shared" si="28"/>
        <v>0</v>
      </c>
      <c r="M956" t="str">
        <f t="shared" si="29"/>
        <v>Kerala</v>
      </c>
    </row>
    <row r="957" spans="1:13">
      <c r="A957">
        <v>313638</v>
      </c>
      <c r="B957" t="s">
        <v>879</v>
      </c>
      <c r="C957" t="s">
        <v>476</v>
      </c>
      <c r="D957" t="s">
        <v>70</v>
      </c>
      <c r="E957" t="s">
        <v>13</v>
      </c>
      <c r="F957">
        <v>10.081559650000001</v>
      </c>
      <c r="G957">
        <v>76.339867420000004</v>
      </c>
      <c r="H957">
        <v>1</v>
      </c>
      <c r="I957" t="s">
        <v>14</v>
      </c>
      <c r="J957" t="s">
        <v>174</v>
      </c>
      <c r="K957">
        <f>IF(tbl_ChargingStation[[#This Row],[status]]="Operational",1,0)</f>
        <v>1</v>
      </c>
      <c r="L957">
        <f t="shared" si="28"/>
        <v>1</v>
      </c>
      <c r="M957" t="str">
        <f t="shared" si="29"/>
        <v>Kerala</v>
      </c>
    </row>
    <row r="958" spans="1:13">
      <c r="A958">
        <v>313636</v>
      </c>
      <c r="B958" t="s">
        <v>881</v>
      </c>
      <c r="C958" t="s">
        <v>882</v>
      </c>
      <c r="D958" t="s">
        <v>70</v>
      </c>
      <c r="E958" t="s">
        <v>13</v>
      </c>
      <c r="F958">
        <v>10.040433869999999</v>
      </c>
      <c r="G958">
        <v>76.338524070000005</v>
      </c>
      <c r="H958">
        <v>1</v>
      </c>
      <c r="I958" t="s">
        <v>14</v>
      </c>
      <c r="J958" t="s">
        <v>174</v>
      </c>
      <c r="K958">
        <f>IF(tbl_ChargingStation[[#This Row],[status]]="Operational",1,0)</f>
        <v>1</v>
      </c>
      <c r="L958">
        <f t="shared" si="28"/>
        <v>1</v>
      </c>
      <c r="M958" t="str">
        <f t="shared" si="29"/>
        <v>Kerala</v>
      </c>
    </row>
    <row r="959" spans="1:13">
      <c r="A959">
        <v>313630</v>
      </c>
      <c r="B959" t="s">
        <v>889</v>
      </c>
      <c r="C959" t="s">
        <v>890</v>
      </c>
      <c r="D959" t="s">
        <v>70</v>
      </c>
      <c r="E959" t="s">
        <v>13</v>
      </c>
      <c r="F959">
        <v>9.9850051779999998</v>
      </c>
      <c r="G959">
        <v>76.316065429999995</v>
      </c>
      <c r="H959">
        <v>1</v>
      </c>
      <c r="I959" t="s">
        <v>14</v>
      </c>
      <c r="J959" t="s">
        <v>174</v>
      </c>
      <c r="K959">
        <f>IF(tbl_ChargingStation[[#This Row],[status]]="Operational",1,0)</f>
        <v>1</v>
      </c>
      <c r="L959">
        <f t="shared" si="28"/>
        <v>1</v>
      </c>
      <c r="M959" t="str">
        <f t="shared" si="29"/>
        <v>Kerala</v>
      </c>
    </row>
    <row r="960" spans="1:13">
      <c r="A960">
        <v>313629</v>
      </c>
      <c r="B960" t="s">
        <v>891</v>
      </c>
      <c r="C960" t="s">
        <v>288</v>
      </c>
      <c r="D960" t="s">
        <v>70</v>
      </c>
      <c r="E960" t="s">
        <v>13</v>
      </c>
      <c r="F960">
        <v>9.9716848040000006</v>
      </c>
      <c r="G960">
        <v>76.324159629999997</v>
      </c>
      <c r="H960">
        <v>1</v>
      </c>
      <c r="I960" t="s">
        <v>14</v>
      </c>
      <c r="J960" t="s">
        <v>174</v>
      </c>
      <c r="K960">
        <f>IF(tbl_ChargingStation[[#This Row],[status]]="Operational",1,0)</f>
        <v>1</v>
      </c>
      <c r="L960">
        <f t="shared" si="28"/>
        <v>1</v>
      </c>
      <c r="M960" t="str">
        <f t="shared" si="29"/>
        <v>Kerala</v>
      </c>
    </row>
    <row r="961" spans="1:13">
      <c r="A961">
        <v>313622</v>
      </c>
      <c r="B961" t="s">
        <v>898</v>
      </c>
      <c r="C961" t="s">
        <v>899</v>
      </c>
      <c r="D961" t="s">
        <v>70</v>
      </c>
      <c r="E961" t="s">
        <v>13</v>
      </c>
      <c r="F961">
        <v>9.9325463420000002</v>
      </c>
      <c r="G961">
        <v>76.38829398</v>
      </c>
      <c r="H961">
        <v>1</v>
      </c>
      <c r="I961" t="s">
        <v>14</v>
      </c>
      <c r="J961" t="s">
        <v>174</v>
      </c>
      <c r="K961">
        <f>IF(tbl_ChargingStation[[#This Row],[status]]="Operational",1,0)</f>
        <v>1</v>
      </c>
      <c r="L961">
        <f t="shared" si="28"/>
        <v>1</v>
      </c>
      <c r="M961" t="str">
        <f t="shared" si="29"/>
        <v>Kerala</v>
      </c>
    </row>
    <row r="962" spans="1:13">
      <c r="A962">
        <v>313617</v>
      </c>
      <c r="B962" t="s">
        <v>905</v>
      </c>
      <c r="C962" t="s">
        <v>96</v>
      </c>
      <c r="D962" t="s">
        <v>70</v>
      </c>
      <c r="E962" t="s">
        <v>13</v>
      </c>
      <c r="F962">
        <v>10.130170870000001</v>
      </c>
      <c r="G962">
        <v>76.470720209999996</v>
      </c>
      <c r="H962">
        <v>1</v>
      </c>
      <c r="I962" t="s">
        <v>14</v>
      </c>
      <c r="J962" t="s">
        <v>174</v>
      </c>
      <c r="K962">
        <f>IF(tbl_ChargingStation[[#This Row],[status]]="Operational",1,0)</f>
        <v>1</v>
      </c>
      <c r="L962">
        <f t="shared" ref="L962:L1001" si="30">H962*K962</f>
        <v>1</v>
      </c>
      <c r="M962" t="str">
        <f t="shared" ref="M962:M1001" si="31">IF(D962="GJ","Gujarat",IF(OR(D962="Keral",D962="Keraka",D962="Lerala"),"Kerala",IF(D962="MH","Maharashtra",IF(D962="MP","Madhya Pradesh",IF(D962="RJ","Rajasthan",IF(D962="TAMILNADU","Tamil Nadu",IF(D962="Uttarakhnad","Uttarakhand",D962)))))))</f>
        <v>Kerala</v>
      </c>
    </row>
    <row r="963" spans="1:13">
      <c r="A963">
        <v>313614</v>
      </c>
      <c r="B963" t="s">
        <v>908</v>
      </c>
      <c r="C963" t="s">
        <v>909</v>
      </c>
      <c r="D963" t="s">
        <v>70</v>
      </c>
      <c r="E963" t="s">
        <v>13</v>
      </c>
      <c r="F963">
        <v>9.9794685530000002</v>
      </c>
      <c r="G963">
        <v>76.550678129999994</v>
      </c>
      <c r="H963">
        <v>1</v>
      </c>
      <c r="I963" t="s">
        <v>14</v>
      </c>
      <c r="J963" t="s">
        <v>174</v>
      </c>
      <c r="K963">
        <f>IF(tbl_ChargingStation[[#This Row],[status]]="Operational",1,0)</f>
        <v>1</v>
      </c>
      <c r="L963">
        <f t="shared" si="30"/>
        <v>1</v>
      </c>
      <c r="M963" t="str">
        <f t="shared" si="31"/>
        <v>Kerala</v>
      </c>
    </row>
    <row r="964" spans="1:13">
      <c r="A964">
        <v>313602</v>
      </c>
      <c r="B964" t="s">
        <v>924</v>
      </c>
      <c r="C964" t="s">
        <v>925</v>
      </c>
      <c r="D964" t="s">
        <v>70</v>
      </c>
      <c r="E964" t="s">
        <v>13</v>
      </c>
      <c r="F964">
        <v>8.5023293280000001</v>
      </c>
      <c r="G964">
        <v>76.897725570000006</v>
      </c>
      <c r="H964">
        <v>1</v>
      </c>
      <c r="I964" t="s">
        <v>14</v>
      </c>
      <c r="J964" t="s">
        <v>174</v>
      </c>
      <c r="K964">
        <f>IF(tbl_ChargingStation[[#This Row],[status]]="Operational",1,0)</f>
        <v>1</v>
      </c>
      <c r="L964">
        <f t="shared" si="30"/>
        <v>1</v>
      </c>
      <c r="M964" t="str">
        <f t="shared" si="31"/>
        <v>Kerala</v>
      </c>
    </row>
    <row r="965" spans="1:13">
      <c r="A965">
        <v>313598</v>
      </c>
      <c r="B965" t="s">
        <v>931</v>
      </c>
      <c r="C965" t="s">
        <v>932</v>
      </c>
      <c r="D965" t="s">
        <v>70</v>
      </c>
      <c r="E965" t="s">
        <v>13</v>
      </c>
      <c r="F965">
        <v>8.5608201519999998</v>
      </c>
      <c r="G965">
        <v>76.898164640000005</v>
      </c>
      <c r="H965">
        <v>1</v>
      </c>
      <c r="I965" t="s">
        <v>14</v>
      </c>
      <c r="J965" t="s">
        <v>174</v>
      </c>
      <c r="K965">
        <f>IF(tbl_ChargingStation[[#This Row],[status]]="Operational",1,0)</f>
        <v>1</v>
      </c>
      <c r="L965">
        <f t="shared" si="30"/>
        <v>1</v>
      </c>
      <c r="M965" t="str">
        <f t="shared" si="31"/>
        <v>Kerala</v>
      </c>
    </row>
    <row r="966" spans="1:13">
      <c r="A966">
        <v>313592</v>
      </c>
      <c r="B966" t="s">
        <v>938</v>
      </c>
      <c r="C966" t="s">
        <v>939</v>
      </c>
      <c r="D966" t="s">
        <v>70</v>
      </c>
      <c r="E966" t="s">
        <v>13</v>
      </c>
      <c r="F966">
        <v>9.6906789680000003</v>
      </c>
      <c r="G966">
        <v>76.774589730000002</v>
      </c>
      <c r="H966">
        <v>1</v>
      </c>
      <c r="I966" t="s">
        <v>14</v>
      </c>
      <c r="J966" t="s">
        <v>174</v>
      </c>
      <c r="K966">
        <f>IF(tbl_ChargingStation[[#This Row],[status]]="Operational",1,0)</f>
        <v>1</v>
      </c>
      <c r="L966">
        <f t="shared" si="30"/>
        <v>1</v>
      </c>
      <c r="M966" t="str">
        <f t="shared" si="31"/>
        <v>Kerala</v>
      </c>
    </row>
    <row r="967" spans="1:13">
      <c r="A967">
        <v>313591</v>
      </c>
      <c r="B967" t="s">
        <v>940</v>
      </c>
      <c r="C967" t="s">
        <v>310</v>
      </c>
      <c r="D967" t="s">
        <v>70</v>
      </c>
      <c r="E967" t="s">
        <v>13</v>
      </c>
      <c r="F967">
        <v>9.7119183479999993</v>
      </c>
      <c r="G967">
        <v>76.693244500000006</v>
      </c>
      <c r="H967">
        <v>1</v>
      </c>
      <c r="I967" t="s">
        <v>14</v>
      </c>
      <c r="J967" t="s">
        <v>174</v>
      </c>
      <c r="K967">
        <f>IF(tbl_ChargingStation[[#This Row],[status]]="Operational",1,0)</f>
        <v>1</v>
      </c>
      <c r="L967">
        <f t="shared" si="30"/>
        <v>1</v>
      </c>
      <c r="M967" t="str">
        <f t="shared" si="31"/>
        <v>Kerala</v>
      </c>
    </row>
    <row r="968" spans="1:13">
      <c r="A968">
        <v>313586</v>
      </c>
      <c r="B968" t="s">
        <v>945</v>
      </c>
      <c r="C968" t="s">
        <v>614</v>
      </c>
      <c r="D968" t="s">
        <v>70</v>
      </c>
      <c r="E968" t="s">
        <v>13</v>
      </c>
      <c r="F968">
        <v>9.6018369589999999</v>
      </c>
      <c r="G968">
        <v>76.532159010000001</v>
      </c>
      <c r="H968">
        <v>1</v>
      </c>
      <c r="I968" t="s">
        <v>14</v>
      </c>
      <c r="J968" t="s">
        <v>174</v>
      </c>
      <c r="K968">
        <f>IF(tbl_ChargingStation[[#This Row],[status]]="Operational",1,0)</f>
        <v>1</v>
      </c>
      <c r="L968">
        <f t="shared" si="30"/>
        <v>1</v>
      </c>
      <c r="M968" t="str">
        <f t="shared" si="31"/>
        <v>Kerala</v>
      </c>
    </row>
    <row r="969" spans="1:13">
      <c r="A969">
        <v>313583</v>
      </c>
      <c r="B969" t="s">
        <v>949</v>
      </c>
      <c r="C969" t="s">
        <v>617</v>
      </c>
      <c r="D969" t="s">
        <v>70</v>
      </c>
      <c r="E969" t="s">
        <v>13</v>
      </c>
      <c r="F969">
        <v>9.5199320449999991</v>
      </c>
      <c r="G969">
        <v>76.327521640000001</v>
      </c>
      <c r="H969">
        <v>1</v>
      </c>
      <c r="I969" t="s">
        <v>14</v>
      </c>
      <c r="J969" t="s">
        <v>174</v>
      </c>
      <c r="K969">
        <f>IF(tbl_ChargingStation[[#This Row],[status]]="Operational",1,0)</f>
        <v>1</v>
      </c>
      <c r="L969">
        <f t="shared" si="30"/>
        <v>1</v>
      </c>
      <c r="M969" t="str">
        <f t="shared" si="31"/>
        <v>Kerala</v>
      </c>
    </row>
    <row r="970" spans="1:13">
      <c r="A970">
        <v>313582</v>
      </c>
      <c r="B970" t="s">
        <v>950</v>
      </c>
      <c r="C970" t="s">
        <v>617</v>
      </c>
      <c r="D970" t="s">
        <v>70</v>
      </c>
      <c r="E970" t="s">
        <v>13</v>
      </c>
      <c r="F970">
        <v>9.5051474650000003</v>
      </c>
      <c r="G970">
        <v>76.328325980000002</v>
      </c>
      <c r="H970">
        <v>1</v>
      </c>
      <c r="I970" t="s">
        <v>14</v>
      </c>
      <c r="J970" t="s">
        <v>174</v>
      </c>
      <c r="K970">
        <f>IF(tbl_ChargingStation[[#This Row],[status]]="Operational",1,0)</f>
        <v>1</v>
      </c>
      <c r="L970">
        <f t="shared" si="30"/>
        <v>1</v>
      </c>
      <c r="M970" t="str">
        <f t="shared" si="31"/>
        <v>Kerala</v>
      </c>
    </row>
    <row r="971" spans="1:13">
      <c r="A971">
        <v>313578</v>
      </c>
      <c r="B971" t="s">
        <v>956</v>
      </c>
      <c r="C971" t="s">
        <v>322</v>
      </c>
      <c r="D971" t="s">
        <v>70</v>
      </c>
      <c r="E971" t="s">
        <v>13</v>
      </c>
      <c r="F971">
        <v>9.4210762670000001</v>
      </c>
      <c r="G971">
        <v>76.546134170000002</v>
      </c>
      <c r="H971">
        <v>1</v>
      </c>
      <c r="I971" t="s">
        <v>14</v>
      </c>
      <c r="J971" t="s">
        <v>174</v>
      </c>
      <c r="K971">
        <f>IF(tbl_ChargingStation[[#This Row],[status]]="Operational",1,0)</f>
        <v>1</v>
      </c>
      <c r="L971">
        <f t="shared" si="30"/>
        <v>1</v>
      </c>
      <c r="M971" t="str">
        <f t="shared" si="31"/>
        <v>Kerala</v>
      </c>
    </row>
    <row r="972" spans="1:13">
      <c r="A972">
        <v>313577</v>
      </c>
      <c r="B972" t="s">
        <v>957</v>
      </c>
      <c r="C972" t="s">
        <v>322</v>
      </c>
      <c r="D972" t="s">
        <v>70</v>
      </c>
      <c r="E972" t="s">
        <v>13</v>
      </c>
      <c r="F972">
        <v>9.3733219820000002</v>
      </c>
      <c r="G972">
        <v>76.564810649999998</v>
      </c>
      <c r="H972">
        <v>1</v>
      </c>
      <c r="I972" t="s">
        <v>14</v>
      </c>
      <c r="J972" t="s">
        <v>174</v>
      </c>
      <c r="K972">
        <f>IF(tbl_ChargingStation[[#This Row],[status]]="Operational",1,0)</f>
        <v>1</v>
      </c>
      <c r="L972">
        <f t="shared" si="30"/>
        <v>1</v>
      </c>
      <c r="M972" t="str">
        <f t="shared" si="31"/>
        <v>Kerala</v>
      </c>
    </row>
    <row r="973" spans="1:13">
      <c r="A973">
        <v>313560</v>
      </c>
      <c r="B973" t="s">
        <v>966</v>
      </c>
      <c r="C973" t="s">
        <v>585</v>
      </c>
      <c r="D973" t="s">
        <v>70</v>
      </c>
      <c r="E973" t="s">
        <v>13</v>
      </c>
      <c r="F973">
        <v>9.3062220520000007</v>
      </c>
      <c r="G973">
        <v>76.803665780000003</v>
      </c>
      <c r="H973">
        <v>1</v>
      </c>
      <c r="I973" t="s">
        <v>14</v>
      </c>
      <c r="J973" t="s">
        <v>174</v>
      </c>
      <c r="K973">
        <f>IF(tbl_ChargingStation[[#This Row],[status]]="Operational",1,0)</f>
        <v>1</v>
      </c>
      <c r="L973">
        <f t="shared" si="30"/>
        <v>1</v>
      </c>
      <c r="M973" t="str">
        <f t="shared" si="31"/>
        <v>Kerala</v>
      </c>
    </row>
    <row r="974" spans="1:13">
      <c r="A974">
        <v>313559</v>
      </c>
      <c r="B974" t="s">
        <v>967</v>
      </c>
      <c r="C974" t="s">
        <v>587</v>
      </c>
      <c r="D974" t="s">
        <v>70</v>
      </c>
      <c r="E974" t="s">
        <v>13</v>
      </c>
      <c r="F974">
        <v>9.2718446570000008</v>
      </c>
      <c r="G974">
        <v>76.655087890000004</v>
      </c>
      <c r="H974">
        <v>1</v>
      </c>
      <c r="I974" t="s">
        <v>14</v>
      </c>
      <c r="J974" t="s">
        <v>174</v>
      </c>
      <c r="K974">
        <f>IF(tbl_ChargingStation[[#This Row],[status]]="Operational",1,0)</f>
        <v>1</v>
      </c>
      <c r="L974">
        <f t="shared" si="30"/>
        <v>1</v>
      </c>
      <c r="M974" t="str">
        <f t="shared" si="31"/>
        <v>Kerala</v>
      </c>
    </row>
    <row r="975" spans="1:13">
      <c r="A975">
        <v>313554</v>
      </c>
      <c r="B975" t="s">
        <v>971</v>
      </c>
      <c r="C975" t="s">
        <v>972</v>
      </c>
      <c r="D975" t="s">
        <v>70</v>
      </c>
      <c r="E975" t="s">
        <v>13</v>
      </c>
      <c r="F975">
        <v>9.2325055799999998</v>
      </c>
      <c r="G975">
        <v>76.537902779999996</v>
      </c>
      <c r="H975">
        <v>1</v>
      </c>
      <c r="I975" t="s">
        <v>14</v>
      </c>
      <c r="J975" t="s">
        <v>174</v>
      </c>
      <c r="K975">
        <f>IF(tbl_ChargingStation[[#This Row],[status]]="Operational",1,0)</f>
        <v>1</v>
      </c>
      <c r="L975">
        <f t="shared" si="30"/>
        <v>1</v>
      </c>
      <c r="M975" t="str">
        <f t="shared" si="31"/>
        <v>Kerala</v>
      </c>
    </row>
    <row r="976" spans="1:13">
      <c r="A976">
        <v>313553</v>
      </c>
      <c r="B976" t="s">
        <v>973</v>
      </c>
      <c r="C976" t="s">
        <v>974</v>
      </c>
      <c r="D976" t="s">
        <v>70</v>
      </c>
      <c r="E976" t="s">
        <v>13</v>
      </c>
      <c r="F976">
        <v>9.2291284240000007</v>
      </c>
      <c r="G976">
        <v>76.848391280000001</v>
      </c>
      <c r="H976">
        <v>1</v>
      </c>
      <c r="I976" t="s">
        <v>14</v>
      </c>
      <c r="J976" t="s">
        <v>174</v>
      </c>
      <c r="K976">
        <f>IF(tbl_ChargingStation[[#This Row],[status]]="Operational",1,0)</f>
        <v>1</v>
      </c>
      <c r="L976">
        <f t="shared" si="30"/>
        <v>1</v>
      </c>
      <c r="M976" t="str">
        <f t="shared" si="31"/>
        <v>Kerala</v>
      </c>
    </row>
    <row r="977" spans="1:13">
      <c r="A977">
        <v>313550</v>
      </c>
      <c r="B977" t="s">
        <v>977</v>
      </c>
      <c r="C977" t="s">
        <v>976</v>
      </c>
      <c r="D977" t="s">
        <v>70</v>
      </c>
      <c r="E977" t="s">
        <v>13</v>
      </c>
      <c r="F977">
        <v>9.1803079459999992</v>
      </c>
      <c r="G977">
        <v>76.708966759999996</v>
      </c>
      <c r="H977">
        <v>1</v>
      </c>
      <c r="I977" t="s">
        <v>14</v>
      </c>
      <c r="J977" t="s">
        <v>174</v>
      </c>
      <c r="K977">
        <f>IF(tbl_ChargingStation[[#This Row],[status]]="Operational",1,0)</f>
        <v>1</v>
      </c>
      <c r="L977">
        <f t="shared" si="30"/>
        <v>1</v>
      </c>
      <c r="M977" t="str">
        <f t="shared" si="31"/>
        <v>Kerala</v>
      </c>
    </row>
    <row r="978" spans="1:13">
      <c r="A978">
        <v>313549</v>
      </c>
      <c r="B978" t="s">
        <v>978</v>
      </c>
      <c r="C978" t="s">
        <v>326</v>
      </c>
      <c r="D978" t="s">
        <v>70</v>
      </c>
      <c r="E978" t="s">
        <v>13</v>
      </c>
      <c r="F978">
        <v>9.1624994050000002</v>
      </c>
      <c r="G978">
        <v>76.710516780000006</v>
      </c>
      <c r="H978">
        <v>1</v>
      </c>
      <c r="I978" t="s">
        <v>14</v>
      </c>
      <c r="J978" t="s">
        <v>174</v>
      </c>
      <c r="K978">
        <f>IF(tbl_ChargingStation[[#This Row],[status]]="Operational",1,0)</f>
        <v>1</v>
      </c>
      <c r="L978">
        <f t="shared" si="30"/>
        <v>1</v>
      </c>
      <c r="M978" t="str">
        <f t="shared" si="31"/>
        <v>Kerala</v>
      </c>
    </row>
    <row r="979" spans="1:13">
      <c r="A979">
        <v>313547</v>
      </c>
      <c r="B979" t="s">
        <v>980</v>
      </c>
      <c r="C979" t="s">
        <v>981</v>
      </c>
      <c r="D979" t="s">
        <v>70</v>
      </c>
      <c r="E979" t="s">
        <v>13</v>
      </c>
      <c r="F979">
        <v>9.1306255949999997</v>
      </c>
      <c r="G979">
        <v>76.514297139999996</v>
      </c>
      <c r="H979">
        <v>1</v>
      </c>
      <c r="I979" t="s">
        <v>14</v>
      </c>
      <c r="J979" t="s">
        <v>174</v>
      </c>
      <c r="K979">
        <f>IF(tbl_ChargingStation[[#This Row],[status]]="Operational",1,0)</f>
        <v>1</v>
      </c>
      <c r="L979">
        <f t="shared" si="30"/>
        <v>1</v>
      </c>
      <c r="M979" t="str">
        <f t="shared" si="31"/>
        <v>Kerala</v>
      </c>
    </row>
    <row r="980" spans="1:13">
      <c r="A980">
        <v>313545</v>
      </c>
      <c r="B980" t="s">
        <v>983</v>
      </c>
      <c r="C980" t="s">
        <v>564</v>
      </c>
      <c r="D980" t="s">
        <v>70</v>
      </c>
      <c r="E980" t="s">
        <v>13</v>
      </c>
      <c r="F980">
        <v>9.0303518700000005</v>
      </c>
      <c r="G980">
        <v>76.782197769999996</v>
      </c>
      <c r="H980">
        <v>1</v>
      </c>
      <c r="I980" t="s">
        <v>14</v>
      </c>
      <c r="J980" t="s">
        <v>174</v>
      </c>
      <c r="K980">
        <f>IF(tbl_ChargingStation[[#This Row],[status]]="Operational",1,0)</f>
        <v>1</v>
      </c>
      <c r="L980">
        <f t="shared" si="30"/>
        <v>1</v>
      </c>
      <c r="M980" t="str">
        <f t="shared" si="31"/>
        <v>Kerala</v>
      </c>
    </row>
    <row r="981" spans="1:13">
      <c r="A981">
        <v>313541</v>
      </c>
      <c r="B981" t="s">
        <v>984</v>
      </c>
      <c r="C981" t="s">
        <v>985</v>
      </c>
      <c r="D981" t="s">
        <v>70</v>
      </c>
      <c r="E981" t="s">
        <v>13</v>
      </c>
      <c r="F981">
        <v>8.9668241959999992</v>
      </c>
      <c r="G981">
        <v>77.055629629999999</v>
      </c>
      <c r="H981">
        <v>1</v>
      </c>
      <c r="I981" t="s">
        <v>14</v>
      </c>
      <c r="J981" t="s">
        <v>174</v>
      </c>
      <c r="K981">
        <f>IF(tbl_ChargingStation[[#This Row],[status]]="Operational",1,0)</f>
        <v>1</v>
      </c>
      <c r="L981">
        <f t="shared" si="30"/>
        <v>1</v>
      </c>
      <c r="M981" t="str">
        <f t="shared" si="31"/>
        <v>Kerala</v>
      </c>
    </row>
    <row r="982" spans="1:13">
      <c r="A982">
        <v>313540</v>
      </c>
      <c r="B982" t="s">
        <v>986</v>
      </c>
      <c r="C982" t="s">
        <v>987</v>
      </c>
      <c r="D982" t="s">
        <v>70</v>
      </c>
      <c r="E982" t="s">
        <v>13</v>
      </c>
      <c r="F982">
        <v>8.9350452100000002</v>
      </c>
      <c r="G982">
        <v>76.772415480000006</v>
      </c>
      <c r="H982">
        <v>1</v>
      </c>
      <c r="I982" t="s">
        <v>14</v>
      </c>
      <c r="J982" t="s">
        <v>174</v>
      </c>
      <c r="K982">
        <f>IF(tbl_ChargingStation[[#This Row],[status]]="Operational",1,0)</f>
        <v>1</v>
      </c>
      <c r="L982">
        <f t="shared" si="30"/>
        <v>1</v>
      </c>
      <c r="M982" t="str">
        <f t="shared" si="31"/>
        <v>Kerala</v>
      </c>
    </row>
    <row r="983" spans="1:13">
      <c r="A983">
        <v>313536</v>
      </c>
      <c r="B983" t="s">
        <v>992</v>
      </c>
      <c r="C983" t="s">
        <v>338</v>
      </c>
      <c r="D983" t="s">
        <v>70</v>
      </c>
      <c r="E983" t="s">
        <v>13</v>
      </c>
      <c r="F983">
        <v>8.8738680159999994</v>
      </c>
      <c r="G983">
        <v>76.641008929999998</v>
      </c>
      <c r="H983">
        <v>1</v>
      </c>
      <c r="I983" t="s">
        <v>14</v>
      </c>
      <c r="J983" t="s">
        <v>174</v>
      </c>
      <c r="K983">
        <f>IF(tbl_ChargingStation[[#This Row],[status]]="Operational",1,0)</f>
        <v>1</v>
      </c>
      <c r="L983">
        <f t="shared" si="30"/>
        <v>1</v>
      </c>
      <c r="M983" t="str">
        <f t="shared" si="31"/>
        <v>Kerala</v>
      </c>
    </row>
    <row r="984" spans="1:13">
      <c r="A984">
        <v>313535</v>
      </c>
      <c r="B984" t="s">
        <v>993</v>
      </c>
      <c r="C984" t="s">
        <v>994</v>
      </c>
      <c r="D984" t="s">
        <v>70</v>
      </c>
      <c r="E984" t="s">
        <v>13</v>
      </c>
      <c r="F984">
        <v>8.8196738680000006</v>
      </c>
      <c r="G984">
        <v>76.753637310000002</v>
      </c>
      <c r="H984">
        <v>1</v>
      </c>
      <c r="I984" t="s">
        <v>14</v>
      </c>
      <c r="J984" t="s">
        <v>174</v>
      </c>
      <c r="K984">
        <f>IF(tbl_ChargingStation[[#This Row],[status]]="Operational",1,0)</f>
        <v>1</v>
      </c>
      <c r="L984">
        <f t="shared" si="30"/>
        <v>1</v>
      </c>
      <c r="M984" t="str">
        <f t="shared" si="31"/>
        <v>Kerala</v>
      </c>
    </row>
    <row r="985" spans="1:13">
      <c r="A985">
        <v>313498</v>
      </c>
      <c r="B985" t="s">
        <v>1029</v>
      </c>
      <c r="C985" t="s">
        <v>909</v>
      </c>
      <c r="D985" t="s">
        <v>70</v>
      </c>
      <c r="E985" t="s">
        <v>13</v>
      </c>
      <c r="F985">
        <v>9.9737837779999996</v>
      </c>
      <c r="G985">
        <v>76.600694090000005</v>
      </c>
      <c r="H985">
        <v>1</v>
      </c>
      <c r="I985" t="s">
        <v>14</v>
      </c>
      <c r="J985" t="s">
        <v>174</v>
      </c>
      <c r="K985">
        <f>IF(tbl_ChargingStation[[#This Row],[status]]="Operational",1,0)</f>
        <v>1</v>
      </c>
      <c r="L985">
        <f t="shared" si="30"/>
        <v>1</v>
      </c>
      <c r="M985" t="str">
        <f t="shared" si="31"/>
        <v>Kerala</v>
      </c>
    </row>
    <row r="986" spans="1:13">
      <c r="A986">
        <v>313475</v>
      </c>
      <c r="B986" t="s">
        <v>1040</v>
      </c>
      <c r="C986" t="s">
        <v>734</v>
      </c>
      <c r="D986" t="s">
        <v>70</v>
      </c>
      <c r="E986" t="s">
        <v>13</v>
      </c>
      <c r="F986">
        <v>12.30424174</v>
      </c>
      <c r="G986">
        <v>75.097041779999998</v>
      </c>
      <c r="H986">
        <v>1</v>
      </c>
      <c r="I986" t="s">
        <v>14</v>
      </c>
      <c r="J986" t="s">
        <v>198</v>
      </c>
      <c r="K986">
        <f>IF(tbl_ChargingStation[[#This Row],[status]]="Operational",1,0)</f>
        <v>1</v>
      </c>
      <c r="L986">
        <f t="shared" si="30"/>
        <v>1</v>
      </c>
      <c r="M986" t="str">
        <f t="shared" si="31"/>
        <v>Kerala</v>
      </c>
    </row>
    <row r="987" spans="1:13">
      <c r="A987">
        <v>313474</v>
      </c>
      <c r="B987" t="s">
        <v>1041</v>
      </c>
      <c r="C987" t="s">
        <v>538</v>
      </c>
      <c r="D987" t="s">
        <v>70</v>
      </c>
      <c r="E987" t="s">
        <v>13</v>
      </c>
      <c r="F987">
        <v>11.9270166</v>
      </c>
      <c r="G987">
        <v>75.500422060000005</v>
      </c>
      <c r="H987">
        <v>1</v>
      </c>
      <c r="I987" t="s">
        <v>14</v>
      </c>
      <c r="J987" t="s">
        <v>198</v>
      </c>
      <c r="K987">
        <f>IF(tbl_ChargingStation[[#This Row],[status]]="Operational",1,0)</f>
        <v>1</v>
      </c>
      <c r="L987">
        <f t="shared" si="30"/>
        <v>1</v>
      </c>
      <c r="M987" t="str">
        <f t="shared" si="31"/>
        <v>Kerala</v>
      </c>
    </row>
    <row r="988" spans="1:13">
      <c r="A988">
        <v>313469</v>
      </c>
      <c r="B988" t="s">
        <v>1046</v>
      </c>
      <c r="C988" t="s">
        <v>1047</v>
      </c>
      <c r="D988" t="s">
        <v>70</v>
      </c>
      <c r="E988" t="s">
        <v>13</v>
      </c>
      <c r="F988">
        <v>11.66124226</v>
      </c>
      <c r="G988">
        <v>76.255681420000002</v>
      </c>
      <c r="H988">
        <v>1</v>
      </c>
      <c r="I988" t="s">
        <v>14</v>
      </c>
      <c r="J988" t="s">
        <v>12</v>
      </c>
      <c r="K988">
        <f>IF(tbl_ChargingStation[[#This Row],[status]]="Operational",1,0)</f>
        <v>1</v>
      </c>
      <c r="L988">
        <f t="shared" si="30"/>
        <v>1</v>
      </c>
      <c r="M988" t="str">
        <f t="shared" si="31"/>
        <v>Kerala</v>
      </c>
    </row>
    <row r="989" spans="1:13">
      <c r="A989">
        <v>313468</v>
      </c>
      <c r="B989" t="s">
        <v>1048</v>
      </c>
      <c r="C989" t="s">
        <v>526</v>
      </c>
      <c r="D989" t="s">
        <v>70</v>
      </c>
      <c r="E989" t="s">
        <v>13</v>
      </c>
      <c r="F989">
        <v>11.63045584</v>
      </c>
      <c r="G989">
        <v>76.018145840000003</v>
      </c>
      <c r="H989">
        <v>1</v>
      </c>
      <c r="I989" t="s">
        <v>14</v>
      </c>
      <c r="J989" t="s">
        <v>198</v>
      </c>
      <c r="K989">
        <f>IF(tbl_ChargingStation[[#This Row],[status]]="Operational",1,0)</f>
        <v>1</v>
      </c>
      <c r="L989">
        <f t="shared" si="30"/>
        <v>1</v>
      </c>
      <c r="M989" t="str">
        <f t="shared" si="31"/>
        <v>Kerala</v>
      </c>
    </row>
    <row r="990" spans="1:13">
      <c r="A990">
        <v>313467</v>
      </c>
      <c r="B990" t="s">
        <v>1049</v>
      </c>
      <c r="C990" t="s">
        <v>526</v>
      </c>
      <c r="D990" t="s">
        <v>70</v>
      </c>
      <c r="E990" t="s">
        <v>13</v>
      </c>
      <c r="F990">
        <v>11.60311373</v>
      </c>
      <c r="G990">
        <v>76.083149039999995</v>
      </c>
      <c r="H990">
        <v>1</v>
      </c>
      <c r="I990" t="s">
        <v>14</v>
      </c>
      <c r="J990" t="s">
        <v>198</v>
      </c>
      <c r="K990">
        <f>IF(tbl_ChargingStation[[#This Row],[status]]="Operational",1,0)</f>
        <v>1</v>
      </c>
      <c r="L990">
        <f t="shared" si="30"/>
        <v>1</v>
      </c>
      <c r="M990" t="str">
        <f t="shared" si="31"/>
        <v>Kerala</v>
      </c>
    </row>
    <row r="991" spans="1:13">
      <c r="A991">
        <v>313460</v>
      </c>
      <c r="B991" t="s">
        <v>1052</v>
      </c>
      <c r="C991" t="s">
        <v>790</v>
      </c>
      <c r="D991" t="s">
        <v>70</v>
      </c>
      <c r="E991" t="s">
        <v>13</v>
      </c>
      <c r="F991">
        <v>10.98386743</v>
      </c>
      <c r="G991">
        <v>75.998029500000001</v>
      </c>
      <c r="H991">
        <v>1</v>
      </c>
      <c r="I991" t="s">
        <v>14</v>
      </c>
      <c r="J991" t="s">
        <v>198</v>
      </c>
      <c r="K991">
        <f>IF(tbl_ChargingStation[[#This Row],[status]]="Operational",1,0)</f>
        <v>1</v>
      </c>
      <c r="L991">
        <f t="shared" si="30"/>
        <v>1</v>
      </c>
      <c r="M991" t="str">
        <f t="shared" si="31"/>
        <v>Kerala</v>
      </c>
    </row>
    <row r="992" spans="1:13">
      <c r="A992">
        <v>313458</v>
      </c>
      <c r="B992" t="s">
        <v>1055</v>
      </c>
      <c r="C992" t="s">
        <v>1056</v>
      </c>
      <c r="D992" t="s">
        <v>70</v>
      </c>
      <c r="E992" t="s">
        <v>13</v>
      </c>
      <c r="F992">
        <v>10.78602051</v>
      </c>
      <c r="G992">
        <v>76.008161819999998</v>
      </c>
      <c r="H992">
        <v>1</v>
      </c>
      <c r="I992" t="s">
        <v>14</v>
      </c>
      <c r="J992" t="s">
        <v>198</v>
      </c>
      <c r="K992">
        <f>IF(tbl_ChargingStation[[#This Row],[status]]="Operational",1,0)</f>
        <v>1</v>
      </c>
      <c r="L992">
        <f t="shared" si="30"/>
        <v>1</v>
      </c>
      <c r="M992" t="str">
        <f t="shared" si="31"/>
        <v>Kerala</v>
      </c>
    </row>
    <row r="993" spans="1:13">
      <c r="A993">
        <v>313456</v>
      </c>
      <c r="B993" t="s">
        <v>1057</v>
      </c>
      <c r="C993" t="s">
        <v>111</v>
      </c>
      <c r="D993" t="s">
        <v>70</v>
      </c>
      <c r="E993" t="s">
        <v>13</v>
      </c>
      <c r="F993">
        <v>10.595622580000001</v>
      </c>
      <c r="G993">
        <v>76.044598429999994</v>
      </c>
      <c r="H993">
        <v>1</v>
      </c>
      <c r="I993" t="s">
        <v>14</v>
      </c>
      <c r="J993" t="s">
        <v>198</v>
      </c>
      <c r="K993">
        <f>IF(tbl_ChargingStation[[#This Row],[status]]="Operational",1,0)</f>
        <v>1</v>
      </c>
      <c r="L993">
        <f t="shared" si="30"/>
        <v>1</v>
      </c>
      <c r="M993" t="str">
        <f t="shared" si="31"/>
        <v>Kerala</v>
      </c>
    </row>
    <row r="994" spans="1:13">
      <c r="A994">
        <v>313454</v>
      </c>
      <c r="B994" t="s">
        <v>1059</v>
      </c>
      <c r="C994" t="s">
        <v>1060</v>
      </c>
      <c r="D994" t="s">
        <v>70</v>
      </c>
      <c r="E994" t="s">
        <v>13</v>
      </c>
      <c r="F994">
        <v>10.55587199</v>
      </c>
      <c r="G994">
        <v>76.322822520000003</v>
      </c>
      <c r="H994">
        <v>1</v>
      </c>
      <c r="I994" t="s">
        <v>14</v>
      </c>
      <c r="J994" t="s">
        <v>198</v>
      </c>
      <c r="K994">
        <f>IF(tbl_ChargingStation[[#This Row],[status]]="Operational",1,0)</f>
        <v>1</v>
      </c>
      <c r="L994">
        <f t="shared" si="30"/>
        <v>1</v>
      </c>
      <c r="M994" t="str">
        <f t="shared" si="31"/>
        <v>Kerala</v>
      </c>
    </row>
    <row r="995" spans="1:13">
      <c r="A995">
        <v>313450</v>
      </c>
      <c r="B995" t="s">
        <v>1064</v>
      </c>
      <c r="C995" t="s">
        <v>483</v>
      </c>
      <c r="D995" t="s">
        <v>70</v>
      </c>
      <c r="E995" t="s">
        <v>13</v>
      </c>
      <c r="F995">
        <v>10.222723759999999</v>
      </c>
      <c r="G995">
        <v>76.375697740000007</v>
      </c>
      <c r="H995">
        <v>1</v>
      </c>
      <c r="I995" t="s">
        <v>14</v>
      </c>
      <c r="J995" t="s">
        <v>198</v>
      </c>
      <c r="K995">
        <f>IF(tbl_ChargingStation[[#This Row],[status]]="Operational",1,0)</f>
        <v>1</v>
      </c>
      <c r="L995">
        <f t="shared" si="30"/>
        <v>1</v>
      </c>
      <c r="M995" t="str">
        <f t="shared" si="31"/>
        <v>Kerala</v>
      </c>
    </row>
    <row r="996" spans="1:13">
      <c r="A996">
        <v>313446</v>
      </c>
      <c r="B996" t="s">
        <v>1069</v>
      </c>
      <c r="C996" t="s">
        <v>1068</v>
      </c>
      <c r="D996" t="s">
        <v>70</v>
      </c>
      <c r="E996" t="s">
        <v>13</v>
      </c>
      <c r="F996">
        <v>10.01114482</v>
      </c>
      <c r="G996">
        <v>76.312497410000006</v>
      </c>
      <c r="H996">
        <v>1</v>
      </c>
      <c r="I996" t="s">
        <v>14</v>
      </c>
      <c r="J996" t="s">
        <v>198</v>
      </c>
      <c r="K996">
        <f>IF(tbl_ChargingStation[[#This Row],[status]]="Operational",1,0)</f>
        <v>1</v>
      </c>
      <c r="L996">
        <f t="shared" si="30"/>
        <v>1</v>
      </c>
      <c r="M996" t="str">
        <f t="shared" si="31"/>
        <v>Kerala</v>
      </c>
    </row>
    <row r="997" spans="1:13">
      <c r="A997">
        <v>313445</v>
      </c>
      <c r="B997" t="s">
        <v>1070</v>
      </c>
      <c r="C997" t="s">
        <v>1071</v>
      </c>
      <c r="D997" t="s">
        <v>70</v>
      </c>
      <c r="E997" t="s">
        <v>13</v>
      </c>
      <c r="F997">
        <v>9.9683045250000006</v>
      </c>
      <c r="G997">
        <v>76.245709480000002</v>
      </c>
      <c r="H997">
        <v>1</v>
      </c>
      <c r="I997" t="s">
        <v>14</v>
      </c>
      <c r="J997" t="s">
        <v>198</v>
      </c>
      <c r="K997">
        <f>IF(tbl_ChargingStation[[#This Row],[status]]="Operational",1,0)</f>
        <v>1</v>
      </c>
      <c r="L997">
        <f t="shared" si="30"/>
        <v>1</v>
      </c>
      <c r="M997" t="str">
        <f t="shared" si="31"/>
        <v>Kerala</v>
      </c>
    </row>
    <row r="998" spans="1:13">
      <c r="A998">
        <v>313444</v>
      </c>
      <c r="B998" t="s">
        <v>1072</v>
      </c>
      <c r="C998" t="s">
        <v>183</v>
      </c>
      <c r="D998" t="s">
        <v>70</v>
      </c>
      <c r="E998" t="s">
        <v>13</v>
      </c>
      <c r="F998">
        <v>9.9614312439999999</v>
      </c>
      <c r="G998">
        <v>76.269490950000005</v>
      </c>
      <c r="H998">
        <v>1</v>
      </c>
      <c r="I998" t="s">
        <v>14</v>
      </c>
      <c r="J998" t="s">
        <v>198</v>
      </c>
      <c r="K998">
        <f>IF(tbl_ChargingStation[[#This Row],[status]]="Operational",1,0)</f>
        <v>1</v>
      </c>
      <c r="L998">
        <f t="shared" si="30"/>
        <v>1</v>
      </c>
      <c r="M998" t="str">
        <f t="shared" si="31"/>
        <v>Kerala</v>
      </c>
    </row>
    <row r="999" spans="1:13">
      <c r="A999">
        <v>313442</v>
      </c>
      <c r="B999" t="s">
        <v>1074</v>
      </c>
      <c r="C999" t="s">
        <v>79</v>
      </c>
      <c r="D999" t="s">
        <v>70</v>
      </c>
      <c r="E999" t="s">
        <v>13</v>
      </c>
      <c r="F999">
        <v>10.025676320000001</v>
      </c>
      <c r="G999">
        <v>77.053771060000003</v>
      </c>
      <c r="H999">
        <v>1</v>
      </c>
      <c r="I999" t="s">
        <v>14</v>
      </c>
      <c r="J999" t="s">
        <v>198</v>
      </c>
      <c r="K999">
        <f>IF(tbl_ChargingStation[[#This Row],[status]]="Operational",1,0)</f>
        <v>1</v>
      </c>
      <c r="L999">
        <f t="shared" si="30"/>
        <v>1</v>
      </c>
      <c r="M999" t="str">
        <f t="shared" si="31"/>
        <v>Kerala</v>
      </c>
    </row>
    <row r="1000" spans="1:13">
      <c r="A1000">
        <v>313440</v>
      </c>
      <c r="B1000" t="s">
        <v>1077</v>
      </c>
      <c r="C1000" t="s">
        <v>1078</v>
      </c>
      <c r="D1000" t="s">
        <v>70</v>
      </c>
      <c r="E1000" t="s">
        <v>13</v>
      </c>
      <c r="F1000">
        <v>9.596033619</v>
      </c>
      <c r="G1000">
        <v>76.302770240000001</v>
      </c>
      <c r="H1000">
        <v>1</v>
      </c>
      <c r="I1000" t="s">
        <v>14</v>
      </c>
      <c r="J1000" t="s">
        <v>198</v>
      </c>
      <c r="K1000">
        <f>IF(tbl_ChargingStation[[#This Row],[status]]="Operational",1,0)</f>
        <v>1</v>
      </c>
      <c r="L1000">
        <f t="shared" si="30"/>
        <v>1</v>
      </c>
      <c r="M1000" t="str">
        <f t="shared" si="31"/>
        <v>Kerala</v>
      </c>
    </row>
    <row r="1001" spans="1:13">
      <c r="A1001">
        <v>313438</v>
      </c>
      <c r="B1001" t="s">
        <v>1080</v>
      </c>
      <c r="C1001" t="s">
        <v>614</v>
      </c>
      <c r="D1001" t="s">
        <v>70</v>
      </c>
      <c r="E1001" t="s">
        <v>13</v>
      </c>
      <c r="F1001">
        <v>9.5828804759999997</v>
      </c>
      <c r="G1001">
        <v>76.521686220000007</v>
      </c>
      <c r="H1001">
        <v>1</v>
      </c>
      <c r="I1001" t="s">
        <v>14</v>
      </c>
      <c r="J1001" t="s">
        <v>198</v>
      </c>
      <c r="K1001">
        <f>IF(tbl_ChargingStation[[#This Row],[status]]="Operational",1,0)</f>
        <v>1</v>
      </c>
      <c r="L1001">
        <f t="shared" si="30"/>
        <v>1</v>
      </c>
      <c r="M1001" t="str">
        <f t="shared" si="31"/>
        <v>Kerala</v>
      </c>
    </row>
  </sheetData>
  <conditionalFormatting sqref="A1:A1001">
    <cfRule type="duplicateValues" dxfId="0" priority="1"/>
  </conditionalFormatting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8E5AEF-08E2-4AAC-9EA5-850828C7B32A}">
  <dimension ref="A1:J1001"/>
  <sheetViews>
    <sheetView workbookViewId="0">
      <selection sqref="A1:J1001"/>
    </sheetView>
  </sheetViews>
  <sheetFormatPr defaultRowHeight="14.4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>
        <v>479727</v>
      </c>
      <c r="B2" t="s">
        <v>10</v>
      </c>
      <c r="C2" t="s">
        <v>11</v>
      </c>
      <c r="D2" t="s">
        <v>12</v>
      </c>
      <c r="E2" t="s">
        <v>13</v>
      </c>
      <c r="F2">
        <v>18.7171819</v>
      </c>
      <c r="G2">
        <v>74.182920879999998</v>
      </c>
      <c r="H2">
        <v>1</v>
      </c>
      <c r="I2" t="s">
        <v>14</v>
      </c>
      <c r="J2" t="s">
        <v>12</v>
      </c>
    </row>
    <row r="3" spans="1:10">
      <c r="A3">
        <v>479445</v>
      </c>
      <c r="B3" t="s">
        <v>15</v>
      </c>
      <c r="C3" t="s">
        <v>16</v>
      </c>
      <c r="D3" t="s">
        <v>17</v>
      </c>
      <c r="E3" t="s">
        <v>13</v>
      </c>
      <c r="F3">
        <v>17.340475789999999</v>
      </c>
      <c r="G3">
        <v>78.545395499999998</v>
      </c>
      <c r="H3">
        <v>1</v>
      </c>
      <c r="I3" t="s">
        <v>14</v>
      </c>
      <c r="J3" t="s">
        <v>18</v>
      </c>
    </row>
    <row r="4" spans="1:10">
      <c r="A4">
        <v>479438</v>
      </c>
      <c r="B4" t="s">
        <v>19</v>
      </c>
      <c r="C4" t="s">
        <v>12</v>
      </c>
      <c r="D4" t="s">
        <v>20</v>
      </c>
      <c r="E4" t="s">
        <v>13</v>
      </c>
      <c r="F4">
        <v>22.286960799999999</v>
      </c>
      <c r="G4">
        <v>86.790983299999994</v>
      </c>
      <c r="H4">
        <v>1</v>
      </c>
      <c r="I4" t="s">
        <v>14</v>
      </c>
      <c r="J4" t="s">
        <v>12</v>
      </c>
    </row>
    <row r="5" spans="1:10">
      <c r="A5">
        <v>479437</v>
      </c>
      <c r="B5" t="s">
        <v>21</v>
      </c>
      <c r="C5" t="s">
        <v>12</v>
      </c>
      <c r="D5" t="s">
        <v>20</v>
      </c>
      <c r="E5" t="s">
        <v>13</v>
      </c>
      <c r="F5">
        <v>22.4497441</v>
      </c>
      <c r="G5">
        <v>86.594943700000002</v>
      </c>
      <c r="H5">
        <v>2</v>
      </c>
      <c r="I5" t="s">
        <v>14</v>
      </c>
      <c r="J5" t="s">
        <v>12</v>
      </c>
    </row>
    <row r="6" spans="1:10">
      <c r="A6">
        <v>479436</v>
      </c>
      <c r="B6" t="s">
        <v>22</v>
      </c>
      <c r="C6" t="s">
        <v>12</v>
      </c>
      <c r="D6" t="s">
        <v>20</v>
      </c>
      <c r="E6" t="s">
        <v>13</v>
      </c>
      <c r="F6">
        <v>22.4498584</v>
      </c>
      <c r="G6">
        <v>86.595041100000003</v>
      </c>
      <c r="H6">
        <v>1</v>
      </c>
      <c r="I6" t="s">
        <v>14</v>
      </c>
      <c r="J6" t="s">
        <v>12</v>
      </c>
    </row>
    <row r="7" spans="1:10">
      <c r="A7">
        <v>479435</v>
      </c>
      <c r="B7" t="s">
        <v>23</v>
      </c>
      <c r="C7" t="s">
        <v>12</v>
      </c>
      <c r="D7" t="s">
        <v>20</v>
      </c>
      <c r="E7" t="s">
        <v>13</v>
      </c>
      <c r="F7">
        <v>22.140250000000002</v>
      </c>
      <c r="G7">
        <v>85.712649999999996</v>
      </c>
      <c r="H7">
        <v>1</v>
      </c>
      <c r="I7" t="s">
        <v>14</v>
      </c>
      <c r="J7" t="s">
        <v>12</v>
      </c>
    </row>
    <row r="8" spans="1:10">
      <c r="A8">
        <v>479434</v>
      </c>
      <c r="B8" t="s">
        <v>23</v>
      </c>
      <c r="C8" t="s">
        <v>12</v>
      </c>
      <c r="D8" t="s">
        <v>20</v>
      </c>
      <c r="E8" t="s">
        <v>13</v>
      </c>
      <c r="F8">
        <v>22.0015401</v>
      </c>
      <c r="G8">
        <v>85.327980100000005</v>
      </c>
      <c r="H8">
        <v>1</v>
      </c>
      <c r="I8" t="s">
        <v>14</v>
      </c>
      <c r="J8" t="s">
        <v>12</v>
      </c>
    </row>
    <row r="9" spans="1:10">
      <c r="A9">
        <v>479433</v>
      </c>
      <c r="B9" t="s">
        <v>24</v>
      </c>
      <c r="C9" t="s">
        <v>12</v>
      </c>
      <c r="D9" t="s">
        <v>20</v>
      </c>
      <c r="E9" t="s">
        <v>13</v>
      </c>
      <c r="F9">
        <v>22.243666000000001</v>
      </c>
      <c r="G9">
        <v>84.827354</v>
      </c>
      <c r="H9">
        <v>3</v>
      </c>
      <c r="I9" t="s">
        <v>14</v>
      </c>
      <c r="J9" t="s">
        <v>12</v>
      </c>
    </row>
    <row r="10" spans="1:10">
      <c r="A10">
        <v>479432</v>
      </c>
      <c r="B10" t="s">
        <v>24</v>
      </c>
      <c r="C10" t="s">
        <v>12</v>
      </c>
      <c r="D10" t="s">
        <v>20</v>
      </c>
      <c r="E10" t="s">
        <v>13</v>
      </c>
      <c r="F10">
        <v>22.236660000000001</v>
      </c>
      <c r="G10">
        <v>84.770150000000001</v>
      </c>
      <c r="H10">
        <v>1</v>
      </c>
      <c r="I10" t="s">
        <v>14</v>
      </c>
      <c r="J10" t="s">
        <v>12</v>
      </c>
    </row>
    <row r="11" spans="1:10">
      <c r="A11">
        <v>479431</v>
      </c>
      <c r="B11" t="s">
        <v>24</v>
      </c>
      <c r="C11" t="s">
        <v>12</v>
      </c>
      <c r="D11" t="s">
        <v>20</v>
      </c>
      <c r="E11" t="s">
        <v>13</v>
      </c>
      <c r="F11">
        <v>22.226704600000001</v>
      </c>
      <c r="G11">
        <v>84.864116499999994</v>
      </c>
      <c r="H11">
        <v>1</v>
      </c>
      <c r="I11" t="s">
        <v>14</v>
      </c>
      <c r="J11" t="s">
        <v>12</v>
      </c>
    </row>
    <row r="12" spans="1:10">
      <c r="A12">
        <v>479430</v>
      </c>
      <c r="B12" t="s">
        <v>19</v>
      </c>
      <c r="C12" t="s">
        <v>12</v>
      </c>
      <c r="D12" t="s">
        <v>20</v>
      </c>
      <c r="E12" t="s">
        <v>13</v>
      </c>
      <c r="F12">
        <v>22.226809899999999</v>
      </c>
      <c r="G12">
        <v>84.796036400000006</v>
      </c>
      <c r="H12">
        <v>1</v>
      </c>
      <c r="I12" t="s">
        <v>14</v>
      </c>
      <c r="J12" t="s">
        <v>12</v>
      </c>
    </row>
    <row r="13" spans="1:10">
      <c r="A13">
        <v>479429</v>
      </c>
      <c r="B13" t="s">
        <v>25</v>
      </c>
      <c r="C13" t="s">
        <v>12</v>
      </c>
      <c r="D13" t="s">
        <v>20</v>
      </c>
      <c r="E13" t="s">
        <v>13</v>
      </c>
      <c r="F13">
        <v>22.227812499999999</v>
      </c>
      <c r="G13">
        <v>84.818387400000006</v>
      </c>
      <c r="H13">
        <v>2</v>
      </c>
      <c r="I13" t="s">
        <v>14</v>
      </c>
      <c r="J13" t="s">
        <v>12</v>
      </c>
    </row>
    <row r="14" spans="1:10">
      <c r="A14">
        <v>479428</v>
      </c>
      <c r="B14" t="s">
        <v>26</v>
      </c>
      <c r="C14" t="s">
        <v>12</v>
      </c>
      <c r="D14" t="s">
        <v>20</v>
      </c>
      <c r="E14" t="s">
        <v>13</v>
      </c>
      <c r="F14">
        <v>22.1040381</v>
      </c>
      <c r="G14">
        <v>84.037543200000002</v>
      </c>
      <c r="H14">
        <v>1</v>
      </c>
      <c r="I14" t="s">
        <v>14</v>
      </c>
      <c r="J14" t="s">
        <v>12</v>
      </c>
    </row>
    <row r="15" spans="1:10">
      <c r="A15">
        <v>479427</v>
      </c>
      <c r="B15" t="s">
        <v>23</v>
      </c>
      <c r="C15" t="s">
        <v>12</v>
      </c>
      <c r="D15" t="s">
        <v>20</v>
      </c>
      <c r="E15" t="s">
        <v>13</v>
      </c>
      <c r="F15">
        <v>22.110037899999998</v>
      </c>
      <c r="G15">
        <v>83.995318900000001</v>
      </c>
      <c r="H15">
        <v>1</v>
      </c>
      <c r="I15" t="s">
        <v>14</v>
      </c>
      <c r="J15" t="s">
        <v>12</v>
      </c>
    </row>
    <row r="16" spans="1:10">
      <c r="A16">
        <v>479426</v>
      </c>
      <c r="B16" t="s">
        <v>24</v>
      </c>
      <c r="C16" t="s">
        <v>12</v>
      </c>
      <c r="D16" t="s">
        <v>20</v>
      </c>
      <c r="E16" t="s">
        <v>13</v>
      </c>
      <c r="F16">
        <v>22.105083</v>
      </c>
      <c r="G16">
        <v>84.037895000000006</v>
      </c>
      <c r="H16">
        <v>1</v>
      </c>
      <c r="I16" t="s">
        <v>14</v>
      </c>
      <c r="J16" t="s">
        <v>12</v>
      </c>
    </row>
    <row r="17" spans="1:10">
      <c r="A17">
        <v>479425</v>
      </c>
      <c r="B17" t="s">
        <v>19</v>
      </c>
      <c r="C17" t="s">
        <v>12</v>
      </c>
      <c r="D17" t="s">
        <v>20</v>
      </c>
      <c r="E17" t="s">
        <v>13</v>
      </c>
      <c r="F17">
        <v>21.762953</v>
      </c>
      <c r="G17">
        <v>87.010723999999996</v>
      </c>
      <c r="H17">
        <v>1</v>
      </c>
      <c r="I17" t="s">
        <v>14</v>
      </c>
      <c r="J17" t="s">
        <v>12</v>
      </c>
    </row>
    <row r="18" spans="1:10">
      <c r="A18">
        <v>479424</v>
      </c>
      <c r="B18" t="s">
        <v>24</v>
      </c>
      <c r="C18" t="s">
        <v>12</v>
      </c>
      <c r="D18" t="s">
        <v>20</v>
      </c>
      <c r="E18" t="s">
        <v>13</v>
      </c>
      <c r="F18">
        <v>21.940045999999999</v>
      </c>
      <c r="G18">
        <v>86.744606000000005</v>
      </c>
      <c r="H18">
        <v>1</v>
      </c>
      <c r="I18" t="s">
        <v>14</v>
      </c>
      <c r="J18" t="s">
        <v>12</v>
      </c>
    </row>
    <row r="19" spans="1:10">
      <c r="A19">
        <v>479423</v>
      </c>
      <c r="B19" t="s">
        <v>27</v>
      </c>
      <c r="C19" t="s">
        <v>12</v>
      </c>
      <c r="D19" t="s">
        <v>20</v>
      </c>
      <c r="E19" t="s">
        <v>13</v>
      </c>
      <c r="F19">
        <v>21.9265285</v>
      </c>
      <c r="G19">
        <v>86.731955499999998</v>
      </c>
      <c r="H19">
        <v>1</v>
      </c>
      <c r="I19" t="s">
        <v>14</v>
      </c>
      <c r="J19" t="s">
        <v>12</v>
      </c>
    </row>
    <row r="20" spans="1:10">
      <c r="A20">
        <v>479422</v>
      </c>
      <c r="B20" t="s">
        <v>24</v>
      </c>
      <c r="C20" t="s">
        <v>12</v>
      </c>
      <c r="D20" t="s">
        <v>20</v>
      </c>
      <c r="E20" t="s">
        <v>13</v>
      </c>
      <c r="F20">
        <v>21.909101</v>
      </c>
      <c r="G20">
        <v>86.751334999999997</v>
      </c>
      <c r="H20">
        <v>1</v>
      </c>
      <c r="I20" t="s">
        <v>14</v>
      </c>
      <c r="J20" t="s">
        <v>12</v>
      </c>
    </row>
    <row r="21" spans="1:10">
      <c r="A21">
        <v>479421</v>
      </c>
      <c r="B21" t="s">
        <v>28</v>
      </c>
      <c r="C21" t="s">
        <v>12</v>
      </c>
      <c r="D21" t="s">
        <v>20</v>
      </c>
      <c r="E21" t="s">
        <v>13</v>
      </c>
      <c r="F21">
        <v>21.8057616</v>
      </c>
      <c r="G21">
        <v>85.995167199999997</v>
      </c>
      <c r="H21">
        <v>1</v>
      </c>
      <c r="I21" t="s">
        <v>14</v>
      </c>
      <c r="J21" t="s">
        <v>12</v>
      </c>
    </row>
    <row r="22" spans="1:10">
      <c r="A22">
        <v>479420</v>
      </c>
      <c r="B22" t="s">
        <v>24</v>
      </c>
      <c r="C22" t="s">
        <v>12</v>
      </c>
      <c r="D22" t="s">
        <v>20</v>
      </c>
      <c r="E22" t="s">
        <v>13</v>
      </c>
      <c r="F22">
        <v>21.852720000000001</v>
      </c>
      <c r="G22">
        <v>83.999089999999995</v>
      </c>
      <c r="H22">
        <v>1</v>
      </c>
      <c r="I22" t="s">
        <v>14</v>
      </c>
      <c r="J22" t="s">
        <v>12</v>
      </c>
    </row>
    <row r="23" spans="1:10">
      <c r="A23">
        <v>479419</v>
      </c>
      <c r="B23" t="s">
        <v>19</v>
      </c>
      <c r="C23" t="s">
        <v>12</v>
      </c>
      <c r="D23" t="s">
        <v>20</v>
      </c>
      <c r="E23" t="s">
        <v>13</v>
      </c>
      <c r="F23">
        <v>21.86703</v>
      </c>
      <c r="G23">
        <v>83.966207999999995</v>
      </c>
      <c r="H23">
        <v>1</v>
      </c>
      <c r="I23" t="s">
        <v>14</v>
      </c>
      <c r="J23" t="s">
        <v>12</v>
      </c>
    </row>
    <row r="24" spans="1:10">
      <c r="A24">
        <v>479418</v>
      </c>
      <c r="B24" t="s">
        <v>24</v>
      </c>
      <c r="C24" t="s">
        <v>12</v>
      </c>
      <c r="D24" t="s">
        <v>20</v>
      </c>
      <c r="E24" t="s">
        <v>13</v>
      </c>
      <c r="F24">
        <v>21.917408000000002</v>
      </c>
      <c r="G24">
        <v>83.382660000000001</v>
      </c>
      <c r="H24">
        <v>1</v>
      </c>
      <c r="I24" t="s">
        <v>14</v>
      </c>
      <c r="J24" t="s">
        <v>12</v>
      </c>
    </row>
    <row r="25" spans="1:10">
      <c r="A25">
        <v>479417</v>
      </c>
      <c r="B25" t="s">
        <v>19</v>
      </c>
      <c r="C25" t="s">
        <v>12</v>
      </c>
      <c r="D25" t="s">
        <v>20</v>
      </c>
      <c r="E25" t="s">
        <v>13</v>
      </c>
      <c r="F25">
        <v>21.920674000000002</v>
      </c>
      <c r="G25">
        <v>83.370714000000007</v>
      </c>
      <c r="H25">
        <v>1</v>
      </c>
      <c r="I25" t="s">
        <v>14</v>
      </c>
      <c r="J25" t="s">
        <v>12</v>
      </c>
    </row>
    <row r="26" spans="1:10">
      <c r="A26">
        <v>479416</v>
      </c>
      <c r="B26" t="s">
        <v>29</v>
      </c>
      <c r="C26" t="s">
        <v>12</v>
      </c>
      <c r="D26" t="s">
        <v>20</v>
      </c>
      <c r="E26" t="s">
        <v>13</v>
      </c>
      <c r="F26">
        <v>21.872869000000001</v>
      </c>
      <c r="G26">
        <v>83.388349000000005</v>
      </c>
      <c r="H26">
        <v>1</v>
      </c>
      <c r="I26" t="s">
        <v>14</v>
      </c>
      <c r="J26" t="s">
        <v>12</v>
      </c>
    </row>
    <row r="27" spans="1:10">
      <c r="A27">
        <v>479415</v>
      </c>
      <c r="B27" t="s">
        <v>30</v>
      </c>
      <c r="C27" t="s">
        <v>12</v>
      </c>
      <c r="D27" t="s">
        <v>20</v>
      </c>
      <c r="E27" t="s">
        <v>13</v>
      </c>
      <c r="F27">
        <v>21.848500099999999</v>
      </c>
      <c r="G27">
        <v>82.779108800000003</v>
      </c>
      <c r="H27">
        <v>1</v>
      </c>
      <c r="I27" t="s">
        <v>14</v>
      </c>
      <c r="J27" t="s">
        <v>12</v>
      </c>
    </row>
    <row r="28" spans="1:10">
      <c r="A28">
        <v>479414</v>
      </c>
      <c r="B28" t="s">
        <v>31</v>
      </c>
      <c r="C28" t="s">
        <v>12</v>
      </c>
      <c r="D28" t="s">
        <v>20</v>
      </c>
      <c r="E28" t="s">
        <v>13</v>
      </c>
      <c r="F28">
        <v>21.8069144</v>
      </c>
      <c r="G28">
        <v>82.752529300000006</v>
      </c>
      <c r="H28">
        <v>2</v>
      </c>
      <c r="I28" t="s">
        <v>14</v>
      </c>
      <c r="J28" t="s">
        <v>12</v>
      </c>
    </row>
    <row r="29" spans="1:10">
      <c r="A29">
        <v>479413</v>
      </c>
      <c r="B29" t="s">
        <v>29</v>
      </c>
      <c r="C29" t="s">
        <v>12</v>
      </c>
      <c r="D29" t="s">
        <v>20</v>
      </c>
      <c r="E29" t="s">
        <v>13</v>
      </c>
      <c r="F29">
        <v>21.864104300000001</v>
      </c>
      <c r="G29">
        <v>82.462108799999996</v>
      </c>
      <c r="H29">
        <v>1</v>
      </c>
      <c r="I29" t="s">
        <v>14</v>
      </c>
      <c r="J29" t="s">
        <v>12</v>
      </c>
    </row>
    <row r="30" spans="1:10">
      <c r="A30">
        <v>479412</v>
      </c>
      <c r="B30" t="s">
        <v>28</v>
      </c>
      <c r="C30" t="s">
        <v>12</v>
      </c>
      <c r="D30" t="s">
        <v>20</v>
      </c>
      <c r="E30" t="s">
        <v>13</v>
      </c>
      <c r="F30">
        <v>21.883378199999999</v>
      </c>
      <c r="G30">
        <v>82.150494199999997</v>
      </c>
      <c r="H30">
        <v>1</v>
      </c>
      <c r="I30" t="s">
        <v>14</v>
      </c>
      <c r="J30" t="s">
        <v>12</v>
      </c>
    </row>
    <row r="31" spans="1:10">
      <c r="A31">
        <v>479411</v>
      </c>
      <c r="B31" t="s">
        <v>29</v>
      </c>
      <c r="C31" t="s">
        <v>12</v>
      </c>
      <c r="D31" t="s">
        <v>20</v>
      </c>
      <c r="E31" t="s">
        <v>13</v>
      </c>
      <c r="F31">
        <v>21.734158000000001</v>
      </c>
      <c r="G31">
        <v>81.535731999999996</v>
      </c>
      <c r="H31">
        <v>1</v>
      </c>
      <c r="I31" t="s">
        <v>14</v>
      </c>
      <c r="J31" t="s">
        <v>12</v>
      </c>
    </row>
    <row r="32" spans="1:10">
      <c r="A32">
        <v>479410</v>
      </c>
      <c r="B32" t="s">
        <v>32</v>
      </c>
      <c r="C32" t="s">
        <v>12</v>
      </c>
      <c r="D32" t="s">
        <v>20</v>
      </c>
      <c r="E32" t="s">
        <v>13</v>
      </c>
      <c r="F32">
        <v>21.592751</v>
      </c>
      <c r="G32">
        <v>87.020588000000004</v>
      </c>
      <c r="H32">
        <v>1</v>
      </c>
      <c r="I32" t="s">
        <v>14</v>
      </c>
      <c r="J32" t="s">
        <v>12</v>
      </c>
    </row>
    <row r="33" spans="1:10">
      <c r="A33">
        <v>479409</v>
      </c>
      <c r="B33" t="s">
        <v>32</v>
      </c>
      <c r="C33" t="s">
        <v>12</v>
      </c>
      <c r="D33" t="s">
        <v>20</v>
      </c>
      <c r="E33" t="s">
        <v>13</v>
      </c>
      <c r="F33">
        <v>21.592610799999999</v>
      </c>
      <c r="G33">
        <v>87.0205579</v>
      </c>
      <c r="H33">
        <v>1</v>
      </c>
      <c r="I33" t="s">
        <v>14</v>
      </c>
      <c r="J33" t="s">
        <v>12</v>
      </c>
    </row>
    <row r="34" spans="1:10">
      <c r="A34">
        <v>479408</v>
      </c>
      <c r="B34" t="s">
        <v>28</v>
      </c>
      <c r="C34" t="s">
        <v>12</v>
      </c>
      <c r="D34" t="s">
        <v>20</v>
      </c>
      <c r="E34" t="s">
        <v>13</v>
      </c>
      <c r="F34">
        <v>21.593016599999999</v>
      </c>
      <c r="G34">
        <v>87.020728500000004</v>
      </c>
      <c r="H34">
        <v>1</v>
      </c>
      <c r="I34" t="s">
        <v>14</v>
      </c>
      <c r="J34" t="s">
        <v>12</v>
      </c>
    </row>
    <row r="35" spans="1:10">
      <c r="A35">
        <v>479407</v>
      </c>
      <c r="B35" t="s">
        <v>24</v>
      </c>
      <c r="C35" t="s">
        <v>12</v>
      </c>
      <c r="D35" t="s">
        <v>20</v>
      </c>
      <c r="E35" t="s">
        <v>13</v>
      </c>
      <c r="F35">
        <v>21.481622999999999</v>
      </c>
      <c r="G35">
        <v>86.906899999999993</v>
      </c>
      <c r="H35">
        <v>3</v>
      </c>
      <c r="I35" t="s">
        <v>14</v>
      </c>
      <c r="J35" t="s">
        <v>12</v>
      </c>
    </row>
    <row r="36" spans="1:10">
      <c r="A36">
        <v>479406</v>
      </c>
      <c r="B36" t="s">
        <v>25</v>
      </c>
      <c r="C36" t="s">
        <v>12</v>
      </c>
      <c r="D36" t="s">
        <v>20</v>
      </c>
      <c r="E36" t="s">
        <v>13</v>
      </c>
      <c r="F36">
        <v>21.498719999999999</v>
      </c>
      <c r="G36">
        <v>86.931079999999994</v>
      </c>
      <c r="H36">
        <v>2</v>
      </c>
      <c r="I36" t="s">
        <v>14</v>
      </c>
      <c r="J36" t="s">
        <v>12</v>
      </c>
    </row>
    <row r="37" spans="1:10">
      <c r="A37">
        <v>479405</v>
      </c>
      <c r="B37" t="s">
        <v>28</v>
      </c>
      <c r="C37" t="s">
        <v>12</v>
      </c>
      <c r="D37" t="s">
        <v>20</v>
      </c>
      <c r="E37" t="s">
        <v>13</v>
      </c>
      <c r="F37">
        <v>21.5746535</v>
      </c>
      <c r="G37">
        <v>87.098495900000003</v>
      </c>
      <c r="H37">
        <v>1</v>
      </c>
      <c r="I37" t="s">
        <v>14</v>
      </c>
      <c r="J37" t="s">
        <v>12</v>
      </c>
    </row>
    <row r="38" spans="1:10">
      <c r="A38">
        <v>479404</v>
      </c>
      <c r="B38" t="s">
        <v>19</v>
      </c>
      <c r="C38" t="s">
        <v>12</v>
      </c>
      <c r="D38" t="s">
        <v>20</v>
      </c>
      <c r="E38" t="s">
        <v>13</v>
      </c>
      <c r="F38">
        <v>21.479921999999998</v>
      </c>
      <c r="G38">
        <v>86.904904000000002</v>
      </c>
      <c r="H38">
        <v>1</v>
      </c>
      <c r="I38" t="s">
        <v>14</v>
      </c>
      <c r="J38" t="s">
        <v>12</v>
      </c>
    </row>
    <row r="39" spans="1:10">
      <c r="A39">
        <v>479403</v>
      </c>
      <c r="B39" t="s">
        <v>25</v>
      </c>
      <c r="C39" t="s">
        <v>12</v>
      </c>
      <c r="D39" t="s">
        <v>20</v>
      </c>
      <c r="E39" t="s">
        <v>13</v>
      </c>
      <c r="F39">
        <v>21.506459100000001</v>
      </c>
      <c r="G39">
        <v>86.911090999999999</v>
      </c>
      <c r="H39">
        <v>1</v>
      </c>
      <c r="I39" t="s">
        <v>14</v>
      </c>
      <c r="J39" t="s">
        <v>12</v>
      </c>
    </row>
    <row r="40" spans="1:10">
      <c r="A40">
        <v>479402</v>
      </c>
      <c r="B40" t="s">
        <v>19</v>
      </c>
      <c r="C40" t="s">
        <v>12</v>
      </c>
      <c r="D40" t="s">
        <v>20</v>
      </c>
      <c r="E40" t="s">
        <v>13</v>
      </c>
      <c r="F40">
        <v>21.497827399999998</v>
      </c>
      <c r="G40">
        <v>86.889646900000002</v>
      </c>
      <c r="H40">
        <v>1</v>
      </c>
      <c r="I40" t="s">
        <v>14</v>
      </c>
      <c r="J40" t="s">
        <v>12</v>
      </c>
    </row>
    <row r="41" spans="1:10">
      <c r="A41">
        <v>479401</v>
      </c>
      <c r="B41" t="s">
        <v>19</v>
      </c>
      <c r="C41" t="s">
        <v>12</v>
      </c>
      <c r="D41" t="s">
        <v>20</v>
      </c>
      <c r="E41" t="s">
        <v>13</v>
      </c>
      <c r="F41">
        <v>21.548808999999999</v>
      </c>
      <c r="G41">
        <v>85.494005999999999</v>
      </c>
      <c r="H41">
        <v>1</v>
      </c>
      <c r="I41" t="s">
        <v>14</v>
      </c>
      <c r="J41" t="s">
        <v>12</v>
      </c>
    </row>
    <row r="42" spans="1:10">
      <c r="A42">
        <v>479400</v>
      </c>
      <c r="B42" t="s">
        <v>24</v>
      </c>
      <c r="C42" t="s">
        <v>12</v>
      </c>
      <c r="D42" t="s">
        <v>20</v>
      </c>
      <c r="E42" t="s">
        <v>13</v>
      </c>
      <c r="F42">
        <v>21.632461299999999</v>
      </c>
      <c r="G42">
        <v>85.590788399999994</v>
      </c>
      <c r="H42">
        <v>1</v>
      </c>
      <c r="I42" t="s">
        <v>14</v>
      </c>
      <c r="J42" t="s">
        <v>12</v>
      </c>
    </row>
    <row r="43" spans="1:10">
      <c r="A43">
        <v>479399</v>
      </c>
      <c r="B43" t="s">
        <v>28</v>
      </c>
      <c r="C43" t="s">
        <v>12</v>
      </c>
      <c r="D43" t="s">
        <v>20</v>
      </c>
      <c r="E43" t="s">
        <v>13</v>
      </c>
      <c r="F43">
        <v>21.549086899999999</v>
      </c>
      <c r="G43">
        <v>85.494270900000004</v>
      </c>
      <c r="H43">
        <v>1</v>
      </c>
      <c r="I43" t="s">
        <v>14</v>
      </c>
      <c r="J43" t="s">
        <v>12</v>
      </c>
    </row>
    <row r="44" spans="1:10">
      <c r="A44">
        <v>479398</v>
      </c>
      <c r="B44" t="s">
        <v>25</v>
      </c>
      <c r="C44" t="s">
        <v>12</v>
      </c>
      <c r="D44" t="s">
        <v>20</v>
      </c>
      <c r="E44" t="s">
        <v>13</v>
      </c>
      <c r="F44">
        <v>21.651430000000001</v>
      </c>
      <c r="G44">
        <v>85.593950000000007</v>
      </c>
      <c r="H44">
        <v>1</v>
      </c>
      <c r="I44" t="s">
        <v>14</v>
      </c>
      <c r="J44" t="s">
        <v>12</v>
      </c>
    </row>
    <row r="45" spans="1:10">
      <c r="A45">
        <v>479397</v>
      </c>
      <c r="B45" t="s">
        <v>24</v>
      </c>
      <c r="C45" t="s">
        <v>12</v>
      </c>
      <c r="D45" t="s">
        <v>20</v>
      </c>
      <c r="E45" t="s">
        <v>13</v>
      </c>
      <c r="F45">
        <v>21.491886999999998</v>
      </c>
      <c r="G45">
        <v>83.986008200000001</v>
      </c>
      <c r="H45">
        <v>1</v>
      </c>
      <c r="I45" t="s">
        <v>14</v>
      </c>
      <c r="J45" t="s">
        <v>12</v>
      </c>
    </row>
    <row r="46" spans="1:10">
      <c r="A46">
        <v>479396</v>
      </c>
      <c r="B46" t="s">
        <v>24</v>
      </c>
      <c r="C46" t="s">
        <v>12</v>
      </c>
      <c r="D46" t="s">
        <v>20</v>
      </c>
      <c r="E46" t="s">
        <v>13</v>
      </c>
      <c r="F46">
        <v>21.467634</v>
      </c>
      <c r="G46">
        <v>83.977264000000005</v>
      </c>
      <c r="H46">
        <v>2</v>
      </c>
      <c r="I46" t="s">
        <v>14</v>
      </c>
      <c r="J46" t="s">
        <v>12</v>
      </c>
    </row>
    <row r="47" spans="1:10">
      <c r="A47">
        <v>479395</v>
      </c>
      <c r="B47" t="s">
        <v>19</v>
      </c>
      <c r="C47" t="s">
        <v>12</v>
      </c>
      <c r="D47" t="s">
        <v>20</v>
      </c>
      <c r="E47" t="s">
        <v>13</v>
      </c>
      <c r="F47">
        <v>21.510616299999999</v>
      </c>
      <c r="G47">
        <v>84.005920200000006</v>
      </c>
      <c r="H47">
        <v>1</v>
      </c>
      <c r="I47" t="s">
        <v>14</v>
      </c>
      <c r="J47" t="s">
        <v>12</v>
      </c>
    </row>
    <row r="48" spans="1:10">
      <c r="A48">
        <v>479394</v>
      </c>
      <c r="B48" t="s">
        <v>25</v>
      </c>
      <c r="C48" t="s">
        <v>12</v>
      </c>
      <c r="D48" t="s">
        <v>20</v>
      </c>
      <c r="E48" t="s">
        <v>13</v>
      </c>
      <c r="F48">
        <v>21.495249999999999</v>
      </c>
      <c r="G48">
        <v>83.975719999999995</v>
      </c>
      <c r="H48">
        <v>1</v>
      </c>
      <c r="I48" t="s">
        <v>14</v>
      </c>
      <c r="J48" t="s">
        <v>12</v>
      </c>
    </row>
    <row r="49" spans="1:10">
      <c r="A49">
        <v>479393</v>
      </c>
      <c r="B49" t="s">
        <v>19</v>
      </c>
      <c r="C49" t="s">
        <v>12</v>
      </c>
      <c r="D49" t="s">
        <v>20</v>
      </c>
      <c r="E49" t="s">
        <v>13</v>
      </c>
      <c r="F49">
        <v>21.501024900000001</v>
      </c>
      <c r="G49">
        <v>83.891313100000005</v>
      </c>
      <c r="H49">
        <v>4</v>
      </c>
      <c r="I49" t="s">
        <v>14</v>
      </c>
      <c r="J49" t="s">
        <v>12</v>
      </c>
    </row>
    <row r="50" spans="1:10">
      <c r="A50">
        <v>479392</v>
      </c>
      <c r="B50" t="s">
        <v>29</v>
      </c>
      <c r="C50" t="s">
        <v>12</v>
      </c>
      <c r="D50" t="s">
        <v>20</v>
      </c>
      <c r="E50" t="s">
        <v>13</v>
      </c>
      <c r="F50">
        <v>21.494135</v>
      </c>
      <c r="G50">
        <v>83.982290000000006</v>
      </c>
      <c r="H50">
        <v>1</v>
      </c>
      <c r="I50" t="s">
        <v>14</v>
      </c>
      <c r="J50" t="s">
        <v>12</v>
      </c>
    </row>
    <row r="51" spans="1:10">
      <c r="A51">
        <v>479391</v>
      </c>
      <c r="B51" t="s">
        <v>23</v>
      </c>
      <c r="C51" t="s">
        <v>12</v>
      </c>
      <c r="D51" t="s">
        <v>20</v>
      </c>
      <c r="E51" t="s">
        <v>13</v>
      </c>
      <c r="F51">
        <v>21.632665299999999</v>
      </c>
      <c r="G51">
        <v>82.159203700000006</v>
      </c>
      <c r="H51">
        <v>1</v>
      </c>
      <c r="I51" t="s">
        <v>14</v>
      </c>
      <c r="J51" t="s">
        <v>12</v>
      </c>
    </row>
    <row r="52" spans="1:10">
      <c r="A52">
        <v>479390</v>
      </c>
      <c r="B52" t="s">
        <v>23</v>
      </c>
      <c r="C52" t="s">
        <v>12</v>
      </c>
      <c r="D52" t="s">
        <v>20</v>
      </c>
      <c r="E52" t="s">
        <v>13</v>
      </c>
      <c r="F52">
        <v>21.550270000000001</v>
      </c>
      <c r="G52">
        <v>81.947460000000007</v>
      </c>
      <c r="H52">
        <v>1</v>
      </c>
      <c r="I52" t="s">
        <v>14</v>
      </c>
      <c r="J52" t="s">
        <v>12</v>
      </c>
    </row>
    <row r="53" spans="1:10">
      <c r="A53">
        <v>479389</v>
      </c>
      <c r="B53" t="s">
        <v>24</v>
      </c>
      <c r="C53" t="s">
        <v>12</v>
      </c>
      <c r="D53" t="s">
        <v>20</v>
      </c>
      <c r="E53" t="s">
        <v>13</v>
      </c>
      <c r="F53">
        <v>21.516079999999999</v>
      </c>
      <c r="G53">
        <v>81.693889999999996</v>
      </c>
      <c r="H53">
        <v>2</v>
      </c>
      <c r="I53" t="s">
        <v>14</v>
      </c>
      <c r="J53" t="s">
        <v>12</v>
      </c>
    </row>
    <row r="54" spans="1:10">
      <c r="A54">
        <v>479388</v>
      </c>
      <c r="B54" t="s">
        <v>33</v>
      </c>
      <c r="C54" t="s">
        <v>12</v>
      </c>
      <c r="D54" t="s">
        <v>20</v>
      </c>
      <c r="E54" t="s">
        <v>13</v>
      </c>
      <c r="F54">
        <v>21.7025644</v>
      </c>
      <c r="G54">
        <v>81.542717499999995</v>
      </c>
      <c r="H54">
        <v>1</v>
      </c>
      <c r="I54" t="s">
        <v>14</v>
      </c>
      <c r="J54" t="s">
        <v>12</v>
      </c>
    </row>
    <row r="55" spans="1:10">
      <c r="A55">
        <v>479387</v>
      </c>
      <c r="B55" t="s">
        <v>24</v>
      </c>
      <c r="C55" t="s">
        <v>12</v>
      </c>
      <c r="D55" t="s">
        <v>20</v>
      </c>
      <c r="E55" t="s">
        <v>13</v>
      </c>
      <c r="F55">
        <v>21.697686999999998</v>
      </c>
      <c r="G55">
        <v>81.546139999999994</v>
      </c>
      <c r="H55">
        <v>1</v>
      </c>
      <c r="I55" t="s">
        <v>14</v>
      </c>
      <c r="J55" t="s">
        <v>12</v>
      </c>
    </row>
    <row r="56" spans="1:10">
      <c r="A56">
        <v>479386</v>
      </c>
      <c r="B56" t="s">
        <v>19</v>
      </c>
      <c r="C56" t="s">
        <v>12</v>
      </c>
      <c r="D56" t="s">
        <v>20</v>
      </c>
      <c r="E56" t="s">
        <v>13</v>
      </c>
      <c r="F56">
        <v>21.63401</v>
      </c>
      <c r="G56">
        <v>81.623890000000003</v>
      </c>
      <c r="H56">
        <v>1</v>
      </c>
      <c r="I56" t="s">
        <v>14</v>
      </c>
      <c r="J56" t="s">
        <v>12</v>
      </c>
    </row>
    <row r="57" spans="1:10">
      <c r="A57">
        <v>479385</v>
      </c>
      <c r="B57" t="s">
        <v>29</v>
      </c>
      <c r="C57" t="s">
        <v>12</v>
      </c>
      <c r="D57" t="s">
        <v>20</v>
      </c>
      <c r="E57" t="s">
        <v>13</v>
      </c>
      <c r="F57">
        <v>21.5166085</v>
      </c>
      <c r="G57">
        <v>81.693927900000006</v>
      </c>
      <c r="H57">
        <v>1</v>
      </c>
      <c r="I57" t="s">
        <v>14</v>
      </c>
      <c r="J57" t="s">
        <v>12</v>
      </c>
    </row>
    <row r="58" spans="1:10">
      <c r="A58">
        <v>479384</v>
      </c>
      <c r="B58" t="s">
        <v>32</v>
      </c>
      <c r="C58" t="s">
        <v>12</v>
      </c>
      <c r="D58" t="s">
        <v>20</v>
      </c>
      <c r="E58" t="s">
        <v>13</v>
      </c>
      <c r="F58">
        <v>21.317264000000002</v>
      </c>
      <c r="G58">
        <v>86.725104999999999</v>
      </c>
      <c r="H58">
        <v>1</v>
      </c>
      <c r="I58" t="s">
        <v>14</v>
      </c>
      <c r="J58" t="s">
        <v>12</v>
      </c>
    </row>
    <row r="59" spans="1:10">
      <c r="A59">
        <v>479383</v>
      </c>
      <c r="B59" t="s">
        <v>28</v>
      </c>
      <c r="C59" t="s">
        <v>12</v>
      </c>
      <c r="D59" t="s">
        <v>20</v>
      </c>
      <c r="E59" t="s">
        <v>13</v>
      </c>
      <c r="F59">
        <v>21.284536899999999</v>
      </c>
      <c r="G59">
        <v>86.674979500000006</v>
      </c>
      <c r="H59">
        <v>1</v>
      </c>
      <c r="I59" t="s">
        <v>14</v>
      </c>
      <c r="J59" t="s">
        <v>12</v>
      </c>
    </row>
    <row r="60" spans="1:10">
      <c r="A60">
        <v>479382</v>
      </c>
      <c r="B60" t="s">
        <v>29</v>
      </c>
      <c r="C60" t="s">
        <v>12</v>
      </c>
      <c r="D60" t="s">
        <v>20</v>
      </c>
      <c r="E60" t="s">
        <v>13</v>
      </c>
      <c r="F60">
        <v>21.382528600000001</v>
      </c>
      <c r="G60">
        <v>86.796329999999998</v>
      </c>
      <c r="H60">
        <v>1</v>
      </c>
      <c r="I60" t="s">
        <v>14</v>
      </c>
      <c r="J60" t="s">
        <v>12</v>
      </c>
    </row>
    <row r="61" spans="1:10">
      <c r="A61">
        <v>479381</v>
      </c>
      <c r="B61" t="s">
        <v>29</v>
      </c>
      <c r="C61" t="s">
        <v>12</v>
      </c>
      <c r="D61" t="s">
        <v>20</v>
      </c>
      <c r="E61" t="s">
        <v>13</v>
      </c>
      <c r="F61">
        <v>21.358080999999999</v>
      </c>
      <c r="G61">
        <v>86.784451000000004</v>
      </c>
      <c r="H61">
        <v>1</v>
      </c>
      <c r="I61" t="s">
        <v>14</v>
      </c>
      <c r="J61" t="s">
        <v>12</v>
      </c>
    </row>
    <row r="62" spans="1:10">
      <c r="A62">
        <v>479380</v>
      </c>
      <c r="B62" t="s">
        <v>28</v>
      </c>
      <c r="C62" t="s">
        <v>12</v>
      </c>
      <c r="D62" t="s">
        <v>20</v>
      </c>
      <c r="E62" t="s">
        <v>13</v>
      </c>
      <c r="F62">
        <v>21.2216615</v>
      </c>
      <c r="G62">
        <v>86.119069699999997</v>
      </c>
      <c r="H62">
        <v>1</v>
      </c>
      <c r="I62" t="s">
        <v>14</v>
      </c>
      <c r="J62" t="s">
        <v>12</v>
      </c>
    </row>
    <row r="63" spans="1:10">
      <c r="A63">
        <v>479379</v>
      </c>
      <c r="B63" t="s">
        <v>24</v>
      </c>
      <c r="C63" t="s">
        <v>12</v>
      </c>
      <c r="D63" t="s">
        <v>20</v>
      </c>
      <c r="E63" t="s">
        <v>13</v>
      </c>
      <c r="F63">
        <v>21.200248999999999</v>
      </c>
      <c r="G63">
        <v>86.123890000000003</v>
      </c>
      <c r="H63">
        <v>1</v>
      </c>
      <c r="I63" t="s">
        <v>14</v>
      </c>
      <c r="J63" t="s">
        <v>12</v>
      </c>
    </row>
    <row r="64" spans="1:10">
      <c r="A64">
        <v>479378</v>
      </c>
      <c r="B64" t="s">
        <v>29</v>
      </c>
      <c r="C64" t="s">
        <v>12</v>
      </c>
      <c r="D64" t="s">
        <v>20</v>
      </c>
      <c r="E64" t="s">
        <v>13</v>
      </c>
      <c r="F64">
        <v>21.3652959</v>
      </c>
      <c r="G64">
        <v>83.744039099999995</v>
      </c>
      <c r="H64">
        <v>1</v>
      </c>
      <c r="I64" t="s">
        <v>14</v>
      </c>
      <c r="J64" t="s">
        <v>12</v>
      </c>
    </row>
    <row r="65" spans="1:10">
      <c r="A65">
        <v>479377</v>
      </c>
      <c r="B65" t="s">
        <v>29</v>
      </c>
      <c r="C65" t="s">
        <v>12</v>
      </c>
      <c r="D65" t="s">
        <v>20</v>
      </c>
      <c r="E65" t="s">
        <v>13</v>
      </c>
      <c r="F65">
        <v>21.314257000000001</v>
      </c>
      <c r="G65">
        <v>83.458978200000004</v>
      </c>
      <c r="H65">
        <v>1</v>
      </c>
      <c r="I65" t="s">
        <v>14</v>
      </c>
      <c r="J65" t="s">
        <v>12</v>
      </c>
    </row>
    <row r="66" spans="1:10">
      <c r="A66">
        <v>479376</v>
      </c>
      <c r="B66" t="s">
        <v>29</v>
      </c>
      <c r="C66" t="s">
        <v>12</v>
      </c>
      <c r="D66" t="s">
        <v>20</v>
      </c>
      <c r="E66" t="s">
        <v>13</v>
      </c>
      <c r="F66">
        <v>21.312703800000001</v>
      </c>
      <c r="G66">
        <v>83.312890199999998</v>
      </c>
      <c r="H66">
        <v>1</v>
      </c>
      <c r="I66" t="s">
        <v>14</v>
      </c>
      <c r="J66" t="s">
        <v>12</v>
      </c>
    </row>
    <row r="67" spans="1:10">
      <c r="A67">
        <v>479375</v>
      </c>
      <c r="B67" t="s">
        <v>29</v>
      </c>
      <c r="C67" t="s">
        <v>12</v>
      </c>
      <c r="D67" t="s">
        <v>20</v>
      </c>
      <c r="E67" t="s">
        <v>13</v>
      </c>
      <c r="F67">
        <v>21.314737999999998</v>
      </c>
      <c r="G67">
        <v>83.309171000000006</v>
      </c>
      <c r="H67">
        <v>1</v>
      </c>
      <c r="I67" t="s">
        <v>14</v>
      </c>
      <c r="J67" t="s">
        <v>12</v>
      </c>
    </row>
    <row r="68" spans="1:10">
      <c r="A68">
        <v>479374</v>
      </c>
      <c r="B68" t="s">
        <v>34</v>
      </c>
      <c r="C68" t="s">
        <v>12</v>
      </c>
      <c r="D68" t="s">
        <v>20</v>
      </c>
      <c r="E68" t="s">
        <v>13</v>
      </c>
      <c r="F68">
        <v>21.296246</v>
      </c>
      <c r="G68">
        <v>82.921301</v>
      </c>
      <c r="H68">
        <v>3</v>
      </c>
      <c r="I68" t="s">
        <v>14</v>
      </c>
      <c r="J68" t="s">
        <v>12</v>
      </c>
    </row>
    <row r="69" spans="1:10">
      <c r="A69">
        <v>479373</v>
      </c>
      <c r="B69" t="s">
        <v>24</v>
      </c>
      <c r="C69" t="s">
        <v>12</v>
      </c>
      <c r="D69" t="s">
        <v>20</v>
      </c>
      <c r="E69" t="s">
        <v>13</v>
      </c>
      <c r="F69">
        <v>21.323920000000001</v>
      </c>
      <c r="G69">
        <v>81.7012</v>
      </c>
      <c r="H69">
        <v>1</v>
      </c>
      <c r="I69" t="s">
        <v>14</v>
      </c>
      <c r="J69" t="s">
        <v>12</v>
      </c>
    </row>
    <row r="70" spans="1:10">
      <c r="A70">
        <v>479372</v>
      </c>
      <c r="B70" t="s">
        <v>28</v>
      </c>
      <c r="C70" t="s">
        <v>12</v>
      </c>
      <c r="D70" t="s">
        <v>20</v>
      </c>
      <c r="E70" t="s">
        <v>13</v>
      </c>
      <c r="F70">
        <v>21.202065600000001</v>
      </c>
      <c r="G70">
        <v>81.919296099999997</v>
      </c>
      <c r="H70">
        <v>1</v>
      </c>
      <c r="I70" t="s">
        <v>14</v>
      </c>
      <c r="J70" t="s">
        <v>12</v>
      </c>
    </row>
    <row r="71" spans="1:10">
      <c r="A71">
        <v>479371</v>
      </c>
      <c r="B71" t="s">
        <v>29</v>
      </c>
      <c r="C71" t="s">
        <v>12</v>
      </c>
      <c r="D71" t="s">
        <v>20</v>
      </c>
      <c r="E71" t="s">
        <v>13</v>
      </c>
      <c r="F71">
        <v>21.2057845</v>
      </c>
      <c r="G71">
        <v>81.872112000000001</v>
      </c>
      <c r="H71">
        <v>1</v>
      </c>
      <c r="I71" t="s">
        <v>14</v>
      </c>
      <c r="J71" t="s">
        <v>12</v>
      </c>
    </row>
    <row r="72" spans="1:10">
      <c r="A72">
        <v>479370</v>
      </c>
      <c r="B72" t="s">
        <v>23</v>
      </c>
      <c r="C72" t="s">
        <v>12</v>
      </c>
      <c r="D72" t="s">
        <v>20</v>
      </c>
      <c r="E72" t="s">
        <v>13</v>
      </c>
      <c r="F72">
        <v>21.302802700000001</v>
      </c>
      <c r="G72">
        <v>81.736809100000002</v>
      </c>
      <c r="H72">
        <v>1</v>
      </c>
      <c r="I72" t="s">
        <v>14</v>
      </c>
      <c r="J72" t="s">
        <v>12</v>
      </c>
    </row>
    <row r="73" spans="1:10">
      <c r="A73">
        <v>479369</v>
      </c>
      <c r="B73" t="s">
        <v>28</v>
      </c>
      <c r="C73" t="s">
        <v>12</v>
      </c>
      <c r="D73" t="s">
        <v>20</v>
      </c>
      <c r="E73" t="s">
        <v>13</v>
      </c>
      <c r="F73">
        <v>21.2182526</v>
      </c>
      <c r="G73">
        <v>81.630131300000002</v>
      </c>
      <c r="H73">
        <v>1</v>
      </c>
      <c r="I73" t="s">
        <v>14</v>
      </c>
      <c r="J73" t="s">
        <v>12</v>
      </c>
    </row>
    <row r="74" spans="1:10">
      <c r="A74">
        <v>479368</v>
      </c>
      <c r="B74" t="s">
        <v>35</v>
      </c>
      <c r="C74" t="s">
        <v>12</v>
      </c>
      <c r="D74" t="s">
        <v>20</v>
      </c>
      <c r="E74" t="s">
        <v>13</v>
      </c>
      <c r="F74">
        <v>21.3173134</v>
      </c>
      <c r="G74">
        <v>81.639718400000007</v>
      </c>
      <c r="H74">
        <v>1</v>
      </c>
      <c r="I74" t="s">
        <v>14</v>
      </c>
      <c r="J74" t="s">
        <v>12</v>
      </c>
    </row>
    <row r="75" spans="1:10">
      <c r="A75">
        <v>479367</v>
      </c>
      <c r="B75" t="s">
        <v>19</v>
      </c>
      <c r="C75" t="s">
        <v>12</v>
      </c>
      <c r="D75" t="s">
        <v>20</v>
      </c>
      <c r="E75" t="s">
        <v>13</v>
      </c>
      <c r="F75">
        <v>21.237788699999999</v>
      </c>
      <c r="G75">
        <v>81.689683500000001</v>
      </c>
      <c r="H75">
        <v>1</v>
      </c>
      <c r="I75" t="s">
        <v>14</v>
      </c>
      <c r="J75" t="s">
        <v>12</v>
      </c>
    </row>
    <row r="76" spans="1:10">
      <c r="A76">
        <v>479366</v>
      </c>
      <c r="B76" t="s">
        <v>29</v>
      </c>
      <c r="C76" t="s">
        <v>12</v>
      </c>
      <c r="D76" t="s">
        <v>20</v>
      </c>
      <c r="E76" t="s">
        <v>13</v>
      </c>
      <c r="F76">
        <v>21.249594099999999</v>
      </c>
      <c r="G76">
        <v>81.523425000000003</v>
      </c>
      <c r="H76">
        <v>1</v>
      </c>
      <c r="I76" t="s">
        <v>14</v>
      </c>
      <c r="J76" t="s">
        <v>12</v>
      </c>
    </row>
    <row r="77" spans="1:10">
      <c r="A77">
        <v>479365</v>
      </c>
      <c r="B77" t="s">
        <v>23</v>
      </c>
      <c r="C77" t="s">
        <v>12</v>
      </c>
      <c r="D77" t="s">
        <v>20</v>
      </c>
      <c r="E77" t="s">
        <v>13</v>
      </c>
      <c r="F77">
        <v>21.341342999999998</v>
      </c>
      <c r="G77">
        <v>81.429918999999998</v>
      </c>
      <c r="H77">
        <v>1</v>
      </c>
      <c r="I77" t="s">
        <v>14</v>
      </c>
      <c r="J77" t="s">
        <v>12</v>
      </c>
    </row>
    <row r="78" spans="1:10">
      <c r="A78">
        <v>479364</v>
      </c>
      <c r="B78" t="s">
        <v>29</v>
      </c>
      <c r="C78" t="s">
        <v>12</v>
      </c>
      <c r="D78" t="s">
        <v>20</v>
      </c>
      <c r="E78" t="s">
        <v>13</v>
      </c>
      <c r="F78">
        <v>21.364806000000002</v>
      </c>
      <c r="G78">
        <v>81.663764400000005</v>
      </c>
      <c r="H78">
        <v>1</v>
      </c>
      <c r="I78" t="s">
        <v>14</v>
      </c>
      <c r="J78" t="s">
        <v>12</v>
      </c>
    </row>
    <row r="79" spans="1:10">
      <c r="A79">
        <v>479363</v>
      </c>
      <c r="B79" t="s">
        <v>24</v>
      </c>
      <c r="C79" t="s">
        <v>12</v>
      </c>
      <c r="D79" t="s">
        <v>20</v>
      </c>
      <c r="E79" t="s">
        <v>13</v>
      </c>
      <c r="F79">
        <v>21.241645500000001</v>
      </c>
      <c r="G79">
        <v>81.495900399999996</v>
      </c>
      <c r="H79">
        <v>1</v>
      </c>
      <c r="I79" t="s">
        <v>14</v>
      </c>
      <c r="J79" t="s">
        <v>12</v>
      </c>
    </row>
    <row r="80" spans="1:10">
      <c r="A80">
        <v>479362</v>
      </c>
      <c r="B80" t="s">
        <v>29</v>
      </c>
      <c r="C80" t="s">
        <v>12</v>
      </c>
      <c r="D80" t="s">
        <v>20</v>
      </c>
      <c r="E80" t="s">
        <v>13</v>
      </c>
      <c r="F80">
        <v>21.335394000000001</v>
      </c>
      <c r="G80">
        <v>81.621727000000007</v>
      </c>
      <c r="H80">
        <v>1</v>
      </c>
      <c r="I80" t="s">
        <v>14</v>
      </c>
      <c r="J80" t="s">
        <v>12</v>
      </c>
    </row>
    <row r="81" spans="1:10">
      <c r="A81">
        <v>479361</v>
      </c>
      <c r="B81" t="s">
        <v>19</v>
      </c>
      <c r="C81" t="s">
        <v>12</v>
      </c>
      <c r="D81" t="s">
        <v>20</v>
      </c>
      <c r="E81" t="s">
        <v>13</v>
      </c>
      <c r="F81">
        <v>21.240409499999998</v>
      </c>
      <c r="G81">
        <v>81.657780099999997</v>
      </c>
      <c r="H81">
        <v>1</v>
      </c>
      <c r="I81" t="s">
        <v>14</v>
      </c>
      <c r="J81" t="s">
        <v>12</v>
      </c>
    </row>
    <row r="82" spans="1:10">
      <c r="A82">
        <v>479360</v>
      </c>
      <c r="B82" t="s">
        <v>24</v>
      </c>
      <c r="C82" t="s">
        <v>12</v>
      </c>
      <c r="D82" t="s">
        <v>20</v>
      </c>
      <c r="E82" t="s">
        <v>13</v>
      </c>
      <c r="F82">
        <v>21.2444126</v>
      </c>
      <c r="G82">
        <v>81.607607999999999</v>
      </c>
      <c r="H82">
        <v>1</v>
      </c>
      <c r="I82" t="s">
        <v>14</v>
      </c>
      <c r="J82" t="s">
        <v>12</v>
      </c>
    </row>
    <row r="83" spans="1:10">
      <c r="A83">
        <v>479359</v>
      </c>
      <c r="B83" t="s">
        <v>29</v>
      </c>
      <c r="C83" t="s">
        <v>12</v>
      </c>
      <c r="D83" t="s">
        <v>20</v>
      </c>
      <c r="E83" t="s">
        <v>13</v>
      </c>
      <c r="F83">
        <v>21.315833000000001</v>
      </c>
      <c r="G83">
        <v>81.639605000000003</v>
      </c>
      <c r="H83">
        <v>1</v>
      </c>
      <c r="I83" t="s">
        <v>14</v>
      </c>
      <c r="J83" t="s">
        <v>12</v>
      </c>
    </row>
    <row r="84" spans="1:10">
      <c r="A84">
        <v>479358</v>
      </c>
      <c r="B84" t="s">
        <v>36</v>
      </c>
      <c r="C84" t="s">
        <v>12</v>
      </c>
      <c r="D84" t="s">
        <v>20</v>
      </c>
      <c r="E84" t="s">
        <v>13</v>
      </c>
      <c r="F84">
        <v>21.234622699999999</v>
      </c>
      <c r="G84">
        <v>81.664444399999994</v>
      </c>
      <c r="H84">
        <v>1</v>
      </c>
      <c r="I84" t="s">
        <v>14</v>
      </c>
      <c r="J84" t="s">
        <v>12</v>
      </c>
    </row>
    <row r="85" spans="1:10">
      <c r="A85">
        <v>479357</v>
      </c>
      <c r="B85" t="s">
        <v>24</v>
      </c>
      <c r="C85" t="s">
        <v>12</v>
      </c>
      <c r="D85" t="s">
        <v>20</v>
      </c>
      <c r="E85" t="s">
        <v>13</v>
      </c>
      <c r="F85">
        <v>21.240400099999999</v>
      </c>
      <c r="G85">
        <v>81.6029695</v>
      </c>
      <c r="H85">
        <v>1</v>
      </c>
      <c r="I85" t="s">
        <v>14</v>
      </c>
      <c r="J85" t="s">
        <v>12</v>
      </c>
    </row>
    <row r="86" spans="1:10">
      <c r="A86">
        <v>479356</v>
      </c>
      <c r="B86" t="s">
        <v>29</v>
      </c>
      <c r="C86" t="s">
        <v>12</v>
      </c>
      <c r="D86" t="s">
        <v>20</v>
      </c>
      <c r="E86" t="s">
        <v>13</v>
      </c>
      <c r="F86">
        <v>21.243320000000001</v>
      </c>
      <c r="G86">
        <v>81.579622000000001</v>
      </c>
      <c r="H86">
        <v>1</v>
      </c>
      <c r="I86" t="s">
        <v>14</v>
      </c>
      <c r="J86" t="s">
        <v>12</v>
      </c>
    </row>
    <row r="87" spans="1:10">
      <c r="A87">
        <v>479355</v>
      </c>
      <c r="B87" t="s">
        <v>28</v>
      </c>
      <c r="C87" t="s">
        <v>12</v>
      </c>
      <c r="D87" t="s">
        <v>20</v>
      </c>
      <c r="E87" t="s">
        <v>13</v>
      </c>
      <c r="F87">
        <v>21.235067099999998</v>
      </c>
      <c r="G87">
        <v>81.630900199999999</v>
      </c>
      <c r="H87">
        <v>2</v>
      </c>
      <c r="I87" t="s">
        <v>14</v>
      </c>
      <c r="J87" t="s">
        <v>12</v>
      </c>
    </row>
    <row r="88" spans="1:10">
      <c r="A88">
        <v>479354</v>
      </c>
      <c r="B88" t="s">
        <v>25</v>
      </c>
      <c r="C88" t="s">
        <v>12</v>
      </c>
      <c r="D88" t="s">
        <v>20</v>
      </c>
      <c r="E88" t="s">
        <v>13</v>
      </c>
      <c r="F88">
        <v>21.244000400000001</v>
      </c>
      <c r="G88">
        <v>81.634718800000002</v>
      </c>
      <c r="H88">
        <v>1</v>
      </c>
      <c r="I88" t="s">
        <v>14</v>
      </c>
      <c r="J88" t="s">
        <v>12</v>
      </c>
    </row>
    <row r="89" spans="1:10">
      <c r="A89">
        <v>479353</v>
      </c>
      <c r="B89" t="s">
        <v>25</v>
      </c>
      <c r="C89" t="s">
        <v>12</v>
      </c>
      <c r="D89" t="s">
        <v>20</v>
      </c>
      <c r="E89" t="s">
        <v>13</v>
      </c>
      <c r="F89">
        <v>21.225601000000001</v>
      </c>
      <c r="G89">
        <v>81.656052299999999</v>
      </c>
      <c r="H89">
        <v>2</v>
      </c>
      <c r="I89" t="s">
        <v>14</v>
      </c>
      <c r="J89" t="s">
        <v>12</v>
      </c>
    </row>
    <row r="90" spans="1:10">
      <c r="A90">
        <v>479352</v>
      </c>
      <c r="B90" t="s">
        <v>19</v>
      </c>
      <c r="C90" t="s">
        <v>12</v>
      </c>
      <c r="D90" t="s">
        <v>20</v>
      </c>
      <c r="E90" t="s">
        <v>13</v>
      </c>
      <c r="F90">
        <v>21.255368300000001</v>
      </c>
      <c r="G90">
        <v>81.629453100000006</v>
      </c>
      <c r="H90">
        <v>2</v>
      </c>
      <c r="I90" t="s">
        <v>14</v>
      </c>
      <c r="J90" t="s">
        <v>12</v>
      </c>
    </row>
    <row r="91" spans="1:10">
      <c r="A91">
        <v>479351</v>
      </c>
      <c r="B91" t="s">
        <v>24</v>
      </c>
      <c r="C91" t="s">
        <v>12</v>
      </c>
      <c r="D91" t="s">
        <v>20</v>
      </c>
      <c r="E91" t="s">
        <v>13</v>
      </c>
      <c r="F91">
        <v>21.240207099999999</v>
      </c>
      <c r="G91">
        <v>81.684308299999998</v>
      </c>
      <c r="H91">
        <v>1</v>
      </c>
      <c r="I91" t="s">
        <v>14</v>
      </c>
      <c r="J91" t="s">
        <v>12</v>
      </c>
    </row>
    <row r="92" spans="1:10">
      <c r="A92">
        <v>479350</v>
      </c>
      <c r="B92" t="s">
        <v>37</v>
      </c>
      <c r="C92" t="s">
        <v>12</v>
      </c>
      <c r="D92" t="s">
        <v>20</v>
      </c>
      <c r="E92" t="s">
        <v>13</v>
      </c>
      <c r="F92">
        <v>21.2395532</v>
      </c>
      <c r="G92">
        <v>81.677671399999994</v>
      </c>
      <c r="H92">
        <v>1</v>
      </c>
      <c r="I92" t="s">
        <v>14</v>
      </c>
      <c r="J92" t="s">
        <v>12</v>
      </c>
    </row>
    <row r="93" spans="1:10">
      <c r="A93">
        <v>479349</v>
      </c>
      <c r="B93" t="s">
        <v>38</v>
      </c>
      <c r="C93" t="s">
        <v>12</v>
      </c>
      <c r="D93" t="s">
        <v>20</v>
      </c>
      <c r="E93" t="s">
        <v>13</v>
      </c>
      <c r="F93">
        <v>21.0984032</v>
      </c>
      <c r="G93">
        <v>86.526684200000005</v>
      </c>
      <c r="H93">
        <v>1</v>
      </c>
      <c r="I93" t="s">
        <v>14</v>
      </c>
      <c r="J93" t="s">
        <v>12</v>
      </c>
    </row>
    <row r="94" spans="1:10">
      <c r="A94">
        <v>479348</v>
      </c>
      <c r="B94" t="s">
        <v>24</v>
      </c>
      <c r="C94" t="s">
        <v>12</v>
      </c>
      <c r="D94" t="s">
        <v>20</v>
      </c>
      <c r="E94" t="s">
        <v>13</v>
      </c>
      <c r="F94">
        <v>21.071770999999998</v>
      </c>
      <c r="G94">
        <v>86.498320000000007</v>
      </c>
      <c r="H94">
        <v>1</v>
      </c>
      <c r="I94" t="s">
        <v>14</v>
      </c>
      <c r="J94" t="s">
        <v>12</v>
      </c>
    </row>
    <row r="95" spans="1:10">
      <c r="A95">
        <v>479347</v>
      </c>
      <c r="B95" t="s">
        <v>32</v>
      </c>
      <c r="C95" t="s">
        <v>12</v>
      </c>
      <c r="D95" t="s">
        <v>20</v>
      </c>
      <c r="E95" t="s">
        <v>13</v>
      </c>
      <c r="F95">
        <v>21.070288099999999</v>
      </c>
      <c r="G95">
        <v>86.4970845</v>
      </c>
      <c r="H95">
        <v>1</v>
      </c>
      <c r="I95" t="s">
        <v>14</v>
      </c>
      <c r="J95" t="s">
        <v>12</v>
      </c>
    </row>
    <row r="96" spans="1:10">
      <c r="A96">
        <v>479346</v>
      </c>
      <c r="B96" t="s">
        <v>32</v>
      </c>
      <c r="C96" t="s">
        <v>12</v>
      </c>
      <c r="D96" t="s">
        <v>20</v>
      </c>
      <c r="E96" t="s">
        <v>13</v>
      </c>
      <c r="F96">
        <v>20.9758779</v>
      </c>
      <c r="G96">
        <v>86.401223099999996</v>
      </c>
      <c r="H96">
        <v>1</v>
      </c>
      <c r="I96" t="s">
        <v>14</v>
      </c>
      <c r="J96" t="s">
        <v>12</v>
      </c>
    </row>
    <row r="97" spans="1:10">
      <c r="A97">
        <v>479345</v>
      </c>
      <c r="B97" t="s">
        <v>19</v>
      </c>
      <c r="C97" t="s">
        <v>12</v>
      </c>
      <c r="D97" t="s">
        <v>20</v>
      </c>
      <c r="E97" t="s">
        <v>13</v>
      </c>
      <c r="F97">
        <v>21.06981</v>
      </c>
      <c r="G97">
        <v>86.496256000000002</v>
      </c>
      <c r="H97">
        <v>1</v>
      </c>
      <c r="I97" t="s">
        <v>14</v>
      </c>
      <c r="J97" t="s">
        <v>12</v>
      </c>
    </row>
    <row r="98" spans="1:10">
      <c r="A98">
        <v>479344</v>
      </c>
      <c r="B98" t="s">
        <v>24</v>
      </c>
      <c r="C98" t="s">
        <v>12</v>
      </c>
      <c r="D98" t="s">
        <v>20</v>
      </c>
      <c r="E98" t="s">
        <v>13</v>
      </c>
      <c r="F98">
        <v>21.104305</v>
      </c>
      <c r="G98">
        <v>86.532646</v>
      </c>
      <c r="H98">
        <v>1</v>
      </c>
      <c r="I98" t="s">
        <v>14</v>
      </c>
      <c r="J98" t="s">
        <v>12</v>
      </c>
    </row>
    <row r="99" spans="1:10">
      <c r="A99">
        <v>479343</v>
      </c>
      <c r="B99" t="s">
        <v>24</v>
      </c>
      <c r="C99" t="s">
        <v>12</v>
      </c>
      <c r="D99" t="s">
        <v>20</v>
      </c>
      <c r="E99" t="s">
        <v>13</v>
      </c>
      <c r="F99">
        <v>20.936204799999999</v>
      </c>
      <c r="G99">
        <v>86.164662399999997</v>
      </c>
      <c r="H99">
        <v>1</v>
      </c>
      <c r="I99" t="s">
        <v>14</v>
      </c>
      <c r="J99" t="s">
        <v>12</v>
      </c>
    </row>
    <row r="100" spans="1:10">
      <c r="A100">
        <v>479342</v>
      </c>
      <c r="B100" t="s">
        <v>19</v>
      </c>
      <c r="C100" t="s">
        <v>12</v>
      </c>
      <c r="D100" t="s">
        <v>20</v>
      </c>
      <c r="E100" t="s">
        <v>13</v>
      </c>
      <c r="F100">
        <v>20.918958700000001</v>
      </c>
      <c r="G100">
        <v>86.216968399999999</v>
      </c>
      <c r="H100">
        <v>1</v>
      </c>
      <c r="I100" t="s">
        <v>14</v>
      </c>
      <c r="J100" t="s">
        <v>12</v>
      </c>
    </row>
    <row r="101" spans="1:10">
      <c r="A101">
        <v>479341</v>
      </c>
      <c r="B101" t="s">
        <v>28</v>
      </c>
      <c r="C101" t="s">
        <v>12</v>
      </c>
      <c r="D101" t="s">
        <v>20</v>
      </c>
      <c r="E101" t="s">
        <v>13</v>
      </c>
      <c r="F101">
        <v>20.986724200000001</v>
      </c>
      <c r="G101">
        <v>85.989196000000007</v>
      </c>
      <c r="H101">
        <v>1</v>
      </c>
      <c r="I101" t="s">
        <v>14</v>
      </c>
      <c r="J101" t="s">
        <v>12</v>
      </c>
    </row>
    <row r="102" spans="1:10">
      <c r="A102">
        <v>479340</v>
      </c>
      <c r="B102" t="s">
        <v>19</v>
      </c>
      <c r="C102" t="s">
        <v>12</v>
      </c>
      <c r="D102" t="s">
        <v>20</v>
      </c>
      <c r="E102" t="s">
        <v>13</v>
      </c>
      <c r="F102">
        <v>20.950256199999998</v>
      </c>
      <c r="G102">
        <v>85.989752999999993</v>
      </c>
      <c r="H102">
        <v>1</v>
      </c>
      <c r="I102" t="s">
        <v>14</v>
      </c>
      <c r="J102" t="s">
        <v>12</v>
      </c>
    </row>
    <row r="103" spans="1:10">
      <c r="A103">
        <v>479339</v>
      </c>
      <c r="B103" t="s">
        <v>29</v>
      </c>
      <c r="C103" t="s">
        <v>12</v>
      </c>
      <c r="D103" t="s">
        <v>20</v>
      </c>
      <c r="E103" t="s">
        <v>13</v>
      </c>
      <c r="F103">
        <v>21.068530800000001</v>
      </c>
      <c r="G103">
        <v>82.361732599999996</v>
      </c>
      <c r="H103">
        <v>1</v>
      </c>
      <c r="I103" t="s">
        <v>14</v>
      </c>
      <c r="J103" t="s">
        <v>12</v>
      </c>
    </row>
    <row r="104" spans="1:10">
      <c r="A104">
        <v>479338</v>
      </c>
      <c r="B104" t="s">
        <v>39</v>
      </c>
      <c r="C104" t="s">
        <v>12</v>
      </c>
      <c r="D104" t="s">
        <v>20</v>
      </c>
      <c r="E104" t="s">
        <v>13</v>
      </c>
      <c r="F104">
        <v>21.163620600000002</v>
      </c>
      <c r="G104">
        <v>81.788358000000002</v>
      </c>
      <c r="H104">
        <v>1</v>
      </c>
      <c r="I104" t="s">
        <v>14</v>
      </c>
      <c r="J104" t="s">
        <v>12</v>
      </c>
    </row>
    <row r="105" spans="1:10">
      <c r="A105">
        <v>479337</v>
      </c>
      <c r="B105" t="s">
        <v>19</v>
      </c>
      <c r="C105" t="s">
        <v>12</v>
      </c>
      <c r="D105" t="s">
        <v>20</v>
      </c>
      <c r="E105" t="s">
        <v>13</v>
      </c>
      <c r="F105">
        <v>21.161282100000001</v>
      </c>
      <c r="G105">
        <v>81.796672000000001</v>
      </c>
      <c r="H105">
        <v>1</v>
      </c>
      <c r="I105" t="s">
        <v>14</v>
      </c>
      <c r="J105" t="s">
        <v>12</v>
      </c>
    </row>
    <row r="106" spans="1:10">
      <c r="A106">
        <v>479336</v>
      </c>
      <c r="B106" t="s">
        <v>39</v>
      </c>
      <c r="C106" t="s">
        <v>12</v>
      </c>
      <c r="D106" t="s">
        <v>20</v>
      </c>
      <c r="E106" t="s">
        <v>13</v>
      </c>
      <c r="F106">
        <v>21.161336800000001</v>
      </c>
      <c r="G106">
        <v>81.796447599999993</v>
      </c>
      <c r="H106">
        <v>1</v>
      </c>
      <c r="I106" t="s">
        <v>14</v>
      </c>
      <c r="J106" t="s">
        <v>12</v>
      </c>
    </row>
    <row r="107" spans="1:10">
      <c r="A107">
        <v>479335</v>
      </c>
      <c r="B107" t="s">
        <v>29</v>
      </c>
      <c r="C107" t="s">
        <v>12</v>
      </c>
      <c r="D107" t="s">
        <v>20</v>
      </c>
      <c r="E107" t="s">
        <v>13</v>
      </c>
      <c r="F107">
        <v>21.0784588</v>
      </c>
      <c r="G107">
        <v>81.751865899999999</v>
      </c>
      <c r="H107">
        <v>1</v>
      </c>
      <c r="I107" t="s">
        <v>14</v>
      </c>
      <c r="J107" t="s">
        <v>12</v>
      </c>
    </row>
    <row r="108" spans="1:10">
      <c r="A108">
        <v>479334</v>
      </c>
      <c r="B108" t="s">
        <v>24</v>
      </c>
      <c r="C108" t="s">
        <v>12</v>
      </c>
      <c r="D108" t="s">
        <v>20</v>
      </c>
      <c r="E108" t="s">
        <v>13</v>
      </c>
      <c r="F108">
        <v>21.134089500000002</v>
      </c>
      <c r="G108">
        <v>81.772353899999999</v>
      </c>
      <c r="H108">
        <v>1</v>
      </c>
      <c r="I108" t="s">
        <v>14</v>
      </c>
      <c r="J108" t="s">
        <v>12</v>
      </c>
    </row>
    <row r="109" spans="1:10">
      <c r="A109">
        <v>479333</v>
      </c>
      <c r="B109" t="s">
        <v>29</v>
      </c>
      <c r="C109" t="s">
        <v>12</v>
      </c>
      <c r="D109" t="s">
        <v>20</v>
      </c>
      <c r="E109" t="s">
        <v>13</v>
      </c>
      <c r="F109">
        <v>21.043510099999999</v>
      </c>
      <c r="G109">
        <v>81.732074699999998</v>
      </c>
      <c r="H109">
        <v>1</v>
      </c>
      <c r="I109" t="s">
        <v>14</v>
      </c>
      <c r="J109" t="s">
        <v>12</v>
      </c>
    </row>
    <row r="110" spans="1:10">
      <c r="A110">
        <v>479332</v>
      </c>
      <c r="B110" t="s">
        <v>40</v>
      </c>
      <c r="C110" t="s">
        <v>12</v>
      </c>
      <c r="D110" t="s">
        <v>20</v>
      </c>
      <c r="E110" t="s">
        <v>13</v>
      </c>
      <c r="F110">
        <v>21.047829400000001</v>
      </c>
      <c r="G110">
        <v>81.533177800000004</v>
      </c>
      <c r="H110">
        <v>1</v>
      </c>
      <c r="I110" t="s">
        <v>14</v>
      </c>
      <c r="J110" t="s">
        <v>12</v>
      </c>
    </row>
    <row r="111" spans="1:10">
      <c r="A111">
        <v>479331</v>
      </c>
      <c r="B111" t="s">
        <v>28</v>
      </c>
      <c r="C111" t="s">
        <v>12</v>
      </c>
      <c r="D111" t="s">
        <v>20</v>
      </c>
      <c r="E111" t="s">
        <v>13</v>
      </c>
      <c r="F111">
        <v>21.035982000000001</v>
      </c>
      <c r="G111">
        <v>81.546132200000002</v>
      </c>
      <c r="H111">
        <v>1</v>
      </c>
      <c r="I111" t="s">
        <v>41</v>
      </c>
      <c r="J111" t="s">
        <v>12</v>
      </c>
    </row>
    <row r="112" spans="1:10">
      <c r="A112">
        <v>479330</v>
      </c>
      <c r="B112" t="s">
        <v>28</v>
      </c>
      <c r="C112" t="s">
        <v>12</v>
      </c>
      <c r="D112" t="s">
        <v>20</v>
      </c>
      <c r="E112" t="s">
        <v>13</v>
      </c>
      <c r="F112">
        <v>21.0161093</v>
      </c>
      <c r="G112">
        <v>81.702900499999998</v>
      </c>
      <c r="H112">
        <v>600</v>
      </c>
      <c r="I112" t="s">
        <v>14</v>
      </c>
      <c r="J112" t="s">
        <v>12</v>
      </c>
    </row>
    <row r="113" spans="1:10">
      <c r="A113">
        <v>479329</v>
      </c>
      <c r="B113" t="s">
        <v>22</v>
      </c>
      <c r="C113" t="s">
        <v>12</v>
      </c>
      <c r="D113" t="s">
        <v>20</v>
      </c>
      <c r="E113" t="s">
        <v>13</v>
      </c>
      <c r="F113">
        <v>20.838153999999999</v>
      </c>
      <c r="G113">
        <v>86.308423000000005</v>
      </c>
      <c r="H113">
        <v>1</v>
      </c>
      <c r="I113" t="s">
        <v>14</v>
      </c>
      <c r="J113" t="s">
        <v>12</v>
      </c>
    </row>
    <row r="114" spans="1:10">
      <c r="A114">
        <v>479328</v>
      </c>
      <c r="B114" t="s">
        <v>24</v>
      </c>
      <c r="C114" t="s">
        <v>12</v>
      </c>
      <c r="D114" t="s">
        <v>20</v>
      </c>
      <c r="E114" t="s">
        <v>13</v>
      </c>
      <c r="F114">
        <v>20.703937100000001</v>
      </c>
      <c r="G114">
        <v>86.134196399999993</v>
      </c>
      <c r="H114">
        <v>1</v>
      </c>
      <c r="I114" t="s">
        <v>14</v>
      </c>
      <c r="J114" t="s">
        <v>12</v>
      </c>
    </row>
    <row r="115" spans="1:10">
      <c r="A115">
        <v>479327</v>
      </c>
      <c r="B115" t="s">
        <v>32</v>
      </c>
      <c r="C115" t="s">
        <v>12</v>
      </c>
      <c r="D115" t="s">
        <v>20</v>
      </c>
      <c r="E115" t="s">
        <v>13</v>
      </c>
      <c r="F115">
        <v>20.752399</v>
      </c>
      <c r="G115">
        <v>86.150857000000002</v>
      </c>
      <c r="H115">
        <v>1</v>
      </c>
      <c r="I115" t="s">
        <v>14</v>
      </c>
      <c r="J115" t="s">
        <v>12</v>
      </c>
    </row>
    <row r="116" spans="1:10">
      <c r="A116">
        <v>479326</v>
      </c>
      <c r="B116" t="s">
        <v>28</v>
      </c>
      <c r="C116" t="s">
        <v>12</v>
      </c>
      <c r="D116" t="s">
        <v>20</v>
      </c>
      <c r="E116" t="s">
        <v>13</v>
      </c>
      <c r="F116">
        <v>20.6581671</v>
      </c>
      <c r="G116">
        <v>86.117313800000005</v>
      </c>
      <c r="H116">
        <v>1</v>
      </c>
      <c r="I116" t="s">
        <v>14</v>
      </c>
      <c r="J116" t="s">
        <v>12</v>
      </c>
    </row>
    <row r="117" spans="1:10">
      <c r="A117">
        <v>479325</v>
      </c>
      <c r="B117" t="s">
        <v>42</v>
      </c>
      <c r="C117" t="s">
        <v>12</v>
      </c>
      <c r="D117" t="s">
        <v>20</v>
      </c>
      <c r="E117" t="s">
        <v>13</v>
      </c>
      <c r="F117">
        <v>20.694237900000001</v>
      </c>
      <c r="G117">
        <v>86.132879299999999</v>
      </c>
      <c r="H117">
        <v>1</v>
      </c>
      <c r="I117" t="s">
        <v>14</v>
      </c>
      <c r="J117" t="s">
        <v>12</v>
      </c>
    </row>
    <row r="118" spans="1:10">
      <c r="A118">
        <v>479324</v>
      </c>
      <c r="B118" t="s">
        <v>29</v>
      </c>
      <c r="C118" t="s">
        <v>12</v>
      </c>
      <c r="D118" t="s">
        <v>20</v>
      </c>
      <c r="E118" t="s">
        <v>13</v>
      </c>
      <c r="F118">
        <v>20.656229</v>
      </c>
      <c r="G118">
        <v>86.112808999999999</v>
      </c>
      <c r="H118">
        <v>1</v>
      </c>
      <c r="I118" t="s">
        <v>14</v>
      </c>
      <c r="J118" t="s">
        <v>12</v>
      </c>
    </row>
    <row r="119" spans="1:10">
      <c r="A119">
        <v>479323</v>
      </c>
      <c r="B119" t="s">
        <v>24</v>
      </c>
      <c r="C119" t="s">
        <v>12</v>
      </c>
      <c r="D119" t="s">
        <v>20</v>
      </c>
      <c r="E119" t="s">
        <v>13</v>
      </c>
      <c r="F119">
        <v>20.669519900000001</v>
      </c>
      <c r="G119">
        <v>85.592293299999994</v>
      </c>
      <c r="H119">
        <v>1</v>
      </c>
      <c r="I119" t="s">
        <v>14</v>
      </c>
      <c r="J119" t="s">
        <v>12</v>
      </c>
    </row>
    <row r="120" spans="1:10">
      <c r="A120">
        <v>479322</v>
      </c>
      <c r="B120" t="s">
        <v>23</v>
      </c>
      <c r="C120" t="s">
        <v>12</v>
      </c>
      <c r="D120" t="s">
        <v>20</v>
      </c>
      <c r="E120" t="s">
        <v>13</v>
      </c>
      <c r="F120">
        <v>20.8014756</v>
      </c>
      <c r="G120">
        <v>85.543470200000002</v>
      </c>
      <c r="H120">
        <v>1</v>
      </c>
      <c r="I120" t="s">
        <v>14</v>
      </c>
      <c r="J120" t="s">
        <v>12</v>
      </c>
    </row>
    <row r="121" spans="1:10">
      <c r="A121">
        <v>479321</v>
      </c>
      <c r="B121" t="s">
        <v>19</v>
      </c>
      <c r="C121" t="s">
        <v>12</v>
      </c>
      <c r="D121" t="s">
        <v>20</v>
      </c>
      <c r="E121" t="s">
        <v>13</v>
      </c>
      <c r="F121">
        <v>20.831755699999999</v>
      </c>
      <c r="G121">
        <v>85.241660300000007</v>
      </c>
      <c r="H121">
        <v>1</v>
      </c>
      <c r="I121" t="s">
        <v>14</v>
      </c>
      <c r="J121" t="s">
        <v>12</v>
      </c>
    </row>
    <row r="122" spans="1:10">
      <c r="A122">
        <v>479320</v>
      </c>
      <c r="B122" t="s">
        <v>43</v>
      </c>
      <c r="C122" t="s">
        <v>12</v>
      </c>
      <c r="D122" t="s">
        <v>20</v>
      </c>
      <c r="E122" t="s">
        <v>13</v>
      </c>
      <c r="F122">
        <v>20.831735200000001</v>
      </c>
      <c r="G122">
        <v>85.241658599999994</v>
      </c>
      <c r="H122">
        <v>1</v>
      </c>
      <c r="I122" t="s">
        <v>14</v>
      </c>
      <c r="J122" t="s">
        <v>12</v>
      </c>
    </row>
    <row r="123" spans="1:10">
      <c r="A123">
        <v>479319</v>
      </c>
      <c r="B123" t="s">
        <v>44</v>
      </c>
      <c r="C123" t="s">
        <v>12</v>
      </c>
      <c r="D123" t="s">
        <v>20</v>
      </c>
      <c r="E123" t="s">
        <v>13</v>
      </c>
      <c r="F123">
        <v>20.832793200000001</v>
      </c>
      <c r="G123">
        <v>85.238288600000004</v>
      </c>
      <c r="H123">
        <v>1</v>
      </c>
      <c r="I123" t="s">
        <v>14</v>
      </c>
      <c r="J123" t="s">
        <v>12</v>
      </c>
    </row>
    <row r="124" spans="1:10">
      <c r="A124">
        <v>479318</v>
      </c>
      <c r="B124" t="s">
        <v>24</v>
      </c>
      <c r="C124" t="s">
        <v>12</v>
      </c>
      <c r="D124" t="s">
        <v>20</v>
      </c>
      <c r="E124" t="s">
        <v>13</v>
      </c>
      <c r="F124">
        <v>20.832794</v>
      </c>
      <c r="G124">
        <v>85.085235999999995</v>
      </c>
      <c r="H124">
        <v>1</v>
      </c>
      <c r="I124" t="s">
        <v>14</v>
      </c>
      <c r="J124" t="s">
        <v>12</v>
      </c>
    </row>
    <row r="125" spans="1:10">
      <c r="A125">
        <v>479317</v>
      </c>
      <c r="B125" t="s">
        <v>19</v>
      </c>
      <c r="C125" t="s">
        <v>12</v>
      </c>
      <c r="D125" t="s">
        <v>20</v>
      </c>
      <c r="E125" t="s">
        <v>13</v>
      </c>
      <c r="F125">
        <v>20.8450685</v>
      </c>
      <c r="G125">
        <v>85.116202599999994</v>
      </c>
      <c r="H125">
        <v>2</v>
      </c>
      <c r="I125" t="s">
        <v>14</v>
      </c>
      <c r="J125" t="s">
        <v>12</v>
      </c>
    </row>
    <row r="126" spans="1:10">
      <c r="A126">
        <v>479316</v>
      </c>
      <c r="B126" t="s">
        <v>21</v>
      </c>
      <c r="C126" t="s">
        <v>12</v>
      </c>
      <c r="D126" t="s">
        <v>20</v>
      </c>
      <c r="E126" t="s">
        <v>13</v>
      </c>
      <c r="F126">
        <v>20.823510899999999</v>
      </c>
      <c r="G126">
        <v>85.0620926</v>
      </c>
      <c r="H126">
        <v>1</v>
      </c>
      <c r="I126" t="s">
        <v>14</v>
      </c>
      <c r="J126" t="s">
        <v>12</v>
      </c>
    </row>
    <row r="127" spans="1:10">
      <c r="A127">
        <v>479315</v>
      </c>
      <c r="B127" t="s">
        <v>22</v>
      </c>
      <c r="C127" t="s">
        <v>12</v>
      </c>
      <c r="D127" t="s">
        <v>20</v>
      </c>
      <c r="E127" t="s">
        <v>13</v>
      </c>
      <c r="F127">
        <v>20.823407899999999</v>
      </c>
      <c r="G127">
        <v>85.062049900000005</v>
      </c>
      <c r="H127">
        <v>1</v>
      </c>
      <c r="I127" t="s">
        <v>14</v>
      </c>
      <c r="J127" t="s">
        <v>12</v>
      </c>
    </row>
    <row r="128" spans="1:10">
      <c r="A128">
        <v>479314</v>
      </c>
      <c r="B128" t="s">
        <v>23</v>
      </c>
      <c r="C128" t="s">
        <v>12</v>
      </c>
      <c r="D128" t="s">
        <v>20</v>
      </c>
      <c r="E128" t="s">
        <v>13</v>
      </c>
      <c r="F128">
        <v>20.80489</v>
      </c>
      <c r="G128">
        <v>84.033990000000003</v>
      </c>
      <c r="H128">
        <v>1</v>
      </c>
      <c r="I128" t="s">
        <v>14</v>
      </c>
      <c r="J128" t="s">
        <v>12</v>
      </c>
    </row>
    <row r="129" spans="1:10">
      <c r="A129">
        <v>479313</v>
      </c>
      <c r="B129" t="s">
        <v>28</v>
      </c>
      <c r="C129" t="s">
        <v>12</v>
      </c>
      <c r="D129" t="s">
        <v>20</v>
      </c>
      <c r="E129" t="s">
        <v>13</v>
      </c>
      <c r="F129">
        <v>20.857754100000001</v>
      </c>
      <c r="G129">
        <v>83.944182100000006</v>
      </c>
      <c r="H129">
        <v>1</v>
      </c>
      <c r="I129" t="s">
        <v>14</v>
      </c>
      <c r="J129" t="s">
        <v>12</v>
      </c>
    </row>
    <row r="130" spans="1:10">
      <c r="A130">
        <v>479312</v>
      </c>
      <c r="B130" t="s">
        <v>28</v>
      </c>
      <c r="C130" t="s">
        <v>12</v>
      </c>
      <c r="D130" t="s">
        <v>20</v>
      </c>
      <c r="E130" t="s">
        <v>13</v>
      </c>
      <c r="F130">
        <v>20.847186099999998</v>
      </c>
      <c r="G130">
        <v>83.894135000000006</v>
      </c>
      <c r="H130">
        <v>1</v>
      </c>
      <c r="I130" t="s">
        <v>14</v>
      </c>
      <c r="J130" t="s">
        <v>12</v>
      </c>
    </row>
    <row r="131" spans="1:10">
      <c r="A131">
        <v>479311</v>
      </c>
      <c r="B131" t="s">
        <v>19</v>
      </c>
      <c r="C131" t="s">
        <v>12</v>
      </c>
      <c r="D131" t="s">
        <v>20</v>
      </c>
      <c r="E131" t="s">
        <v>13</v>
      </c>
      <c r="F131">
        <v>20.7425344</v>
      </c>
      <c r="G131">
        <v>81.5791428</v>
      </c>
      <c r="H131">
        <v>1</v>
      </c>
      <c r="I131" t="s">
        <v>14</v>
      </c>
      <c r="J131" t="s">
        <v>12</v>
      </c>
    </row>
    <row r="132" spans="1:10">
      <c r="A132">
        <v>479310</v>
      </c>
      <c r="B132" t="s">
        <v>29</v>
      </c>
      <c r="C132" t="s">
        <v>12</v>
      </c>
      <c r="D132" t="s">
        <v>20</v>
      </c>
      <c r="E132" t="s">
        <v>13</v>
      </c>
      <c r="F132">
        <v>20.817084999999999</v>
      </c>
      <c r="G132">
        <v>81.682810200000006</v>
      </c>
      <c r="H132">
        <v>1</v>
      </c>
      <c r="I132" t="s">
        <v>14</v>
      </c>
      <c r="J132" t="s">
        <v>12</v>
      </c>
    </row>
    <row r="133" spans="1:10">
      <c r="A133">
        <v>479309</v>
      </c>
      <c r="B133" t="s">
        <v>24</v>
      </c>
      <c r="C133" t="s">
        <v>12</v>
      </c>
      <c r="D133" t="s">
        <v>20</v>
      </c>
      <c r="E133" t="s">
        <v>13</v>
      </c>
      <c r="F133">
        <v>20.530715300000001</v>
      </c>
      <c r="G133">
        <v>86.357933299999999</v>
      </c>
      <c r="H133">
        <v>1</v>
      </c>
      <c r="I133" t="s">
        <v>14</v>
      </c>
      <c r="J133" t="s">
        <v>12</v>
      </c>
    </row>
    <row r="134" spans="1:10">
      <c r="A134">
        <v>479308</v>
      </c>
      <c r="B134" t="s">
        <v>45</v>
      </c>
      <c r="C134" t="s">
        <v>12</v>
      </c>
      <c r="D134" t="s">
        <v>20</v>
      </c>
      <c r="E134" t="s">
        <v>13</v>
      </c>
      <c r="F134">
        <v>20.4209459</v>
      </c>
      <c r="G134">
        <v>86.090303800000001</v>
      </c>
      <c r="H134">
        <v>1</v>
      </c>
      <c r="I134" t="s">
        <v>14</v>
      </c>
      <c r="J134" t="s">
        <v>12</v>
      </c>
    </row>
    <row r="135" spans="1:10">
      <c r="A135">
        <v>479307</v>
      </c>
      <c r="B135" t="s">
        <v>34</v>
      </c>
      <c r="C135" t="s">
        <v>12</v>
      </c>
      <c r="D135" t="s">
        <v>20</v>
      </c>
      <c r="E135" t="s">
        <v>13</v>
      </c>
      <c r="F135">
        <v>20.482358900000001</v>
      </c>
      <c r="G135">
        <v>86.058158800000001</v>
      </c>
      <c r="H135">
        <v>1</v>
      </c>
      <c r="I135" t="s">
        <v>14</v>
      </c>
      <c r="J135" t="s">
        <v>12</v>
      </c>
    </row>
    <row r="136" spans="1:10">
      <c r="A136">
        <v>479306</v>
      </c>
      <c r="B136" t="s">
        <v>19</v>
      </c>
      <c r="C136" t="s">
        <v>12</v>
      </c>
      <c r="D136" t="s">
        <v>20</v>
      </c>
      <c r="E136" t="s">
        <v>13</v>
      </c>
      <c r="F136">
        <v>20.370249699999999</v>
      </c>
      <c r="G136">
        <v>85.890974499999999</v>
      </c>
      <c r="H136">
        <v>1</v>
      </c>
      <c r="I136" t="s">
        <v>14</v>
      </c>
      <c r="J136" t="s">
        <v>12</v>
      </c>
    </row>
    <row r="137" spans="1:10">
      <c r="A137">
        <v>479305</v>
      </c>
      <c r="B137" t="s">
        <v>24</v>
      </c>
      <c r="C137" t="s">
        <v>12</v>
      </c>
      <c r="D137" t="s">
        <v>20</v>
      </c>
      <c r="E137" t="s">
        <v>13</v>
      </c>
      <c r="F137">
        <v>20.491886000000001</v>
      </c>
      <c r="G137">
        <v>85.935270000000003</v>
      </c>
      <c r="H137">
        <v>1</v>
      </c>
      <c r="I137" t="s">
        <v>14</v>
      </c>
      <c r="J137" t="s">
        <v>12</v>
      </c>
    </row>
    <row r="138" spans="1:10">
      <c r="A138">
        <v>479304</v>
      </c>
      <c r="B138" t="s">
        <v>24</v>
      </c>
      <c r="C138" t="s">
        <v>12</v>
      </c>
      <c r="D138" t="s">
        <v>20</v>
      </c>
      <c r="E138" t="s">
        <v>13</v>
      </c>
      <c r="F138">
        <v>20.4791192</v>
      </c>
      <c r="G138">
        <v>85.839822299999994</v>
      </c>
      <c r="H138">
        <v>1</v>
      </c>
      <c r="I138" t="s">
        <v>41</v>
      </c>
      <c r="J138" t="s">
        <v>12</v>
      </c>
    </row>
    <row r="139" spans="1:10">
      <c r="A139">
        <v>479303</v>
      </c>
      <c r="B139" t="s">
        <v>19</v>
      </c>
      <c r="C139" t="s">
        <v>12</v>
      </c>
      <c r="D139" t="s">
        <v>20</v>
      </c>
      <c r="E139" t="s">
        <v>13</v>
      </c>
      <c r="F139">
        <v>20.529316000000001</v>
      </c>
      <c r="G139">
        <v>85.949236999999997</v>
      </c>
      <c r="H139">
        <v>1</v>
      </c>
      <c r="I139" t="s">
        <v>14</v>
      </c>
      <c r="J139" t="s">
        <v>12</v>
      </c>
    </row>
    <row r="140" spans="1:10">
      <c r="A140">
        <v>479302</v>
      </c>
      <c r="B140" t="s">
        <v>24</v>
      </c>
      <c r="C140" t="s">
        <v>12</v>
      </c>
      <c r="D140" t="s">
        <v>20</v>
      </c>
      <c r="E140" t="s">
        <v>13</v>
      </c>
      <c r="F140">
        <v>20.453737</v>
      </c>
      <c r="G140">
        <v>85.888490000000004</v>
      </c>
      <c r="H140">
        <v>1</v>
      </c>
      <c r="I140" t="s">
        <v>14</v>
      </c>
      <c r="J140" t="s">
        <v>12</v>
      </c>
    </row>
    <row r="141" spans="1:10">
      <c r="A141">
        <v>479301</v>
      </c>
      <c r="B141" t="s">
        <v>28</v>
      </c>
      <c r="C141" t="s">
        <v>12</v>
      </c>
      <c r="D141" t="s">
        <v>20</v>
      </c>
      <c r="E141" t="s">
        <v>13</v>
      </c>
      <c r="F141">
        <v>20.411631700000001</v>
      </c>
      <c r="G141">
        <v>85.879413299999996</v>
      </c>
      <c r="H141">
        <v>1</v>
      </c>
      <c r="I141" t="s">
        <v>14</v>
      </c>
      <c r="J141" t="s">
        <v>12</v>
      </c>
    </row>
    <row r="142" spans="1:10">
      <c r="A142">
        <v>479300</v>
      </c>
      <c r="B142" t="s">
        <v>19</v>
      </c>
      <c r="C142" t="s">
        <v>12</v>
      </c>
      <c r="D142" t="s">
        <v>20</v>
      </c>
      <c r="E142" t="s">
        <v>13</v>
      </c>
      <c r="F142">
        <v>20.481787000000001</v>
      </c>
      <c r="G142">
        <v>85.817212999999995</v>
      </c>
      <c r="H142">
        <v>1</v>
      </c>
      <c r="I142" t="s">
        <v>14</v>
      </c>
      <c r="J142" t="s">
        <v>12</v>
      </c>
    </row>
    <row r="143" spans="1:10">
      <c r="A143">
        <v>479299</v>
      </c>
      <c r="B143" t="s">
        <v>24</v>
      </c>
      <c r="C143" t="s">
        <v>12</v>
      </c>
      <c r="D143" t="s">
        <v>20</v>
      </c>
      <c r="E143" t="s">
        <v>13</v>
      </c>
      <c r="F143">
        <v>20.449793799999998</v>
      </c>
      <c r="G143">
        <v>85.898200099999997</v>
      </c>
      <c r="H143">
        <v>1</v>
      </c>
      <c r="I143" t="s">
        <v>14</v>
      </c>
      <c r="J143" t="s">
        <v>12</v>
      </c>
    </row>
    <row r="144" spans="1:10">
      <c r="A144">
        <v>479298</v>
      </c>
      <c r="B144" t="s">
        <v>24</v>
      </c>
      <c r="C144" t="s">
        <v>12</v>
      </c>
      <c r="D144" t="s">
        <v>20</v>
      </c>
      <c r="E144" t="s">
        <v>13</v>
      </c>
      <c r="F144">
        <v>20.469631</v>
      </c>
      <c r="G144">
        <v>85.854690000000005</v>
      </c>
      <c r="H144">
        <v>1</v>
      </c>
      <c r="I144" t="s">
        <v>14</v>
      </c>
      <c r="J144" t="s">
        <v>12</v>
      </c>
    </row>
    <row r="145" spans="1:10">
      <c r="A145">
        <v>479297</v>
      </c>
      <c r="B145" t="s">
        <v>24</v>
      </c>
      <c r="C145" t="s">
        <v>12</v>
      </c>
      <c r="D145" t="s">
        <v>20</v>
      </c>
      <c r="E145" t="s">
        <v>13</v>
      </c>
      <c r="F145">
        <v>20.460117</v>
      </c>
      <c r="G145">
        <v>85.889380000000003</v>
      </c>
      <c r="H145">
        <v>1</v>
      </c>
      <c r="I145" t="s">
        <v>14</v>
      </c>
      <c r="J145" t="s">
        <v>12</v>
      </c>
    </row>
    <row r="146" spans="1:10">
      <c r="A146">
        <v>479296</v>
      </c>
      <c r="B146" t="s">
        <v>24</v>
      </c>
      <c r="C146" t="s">
        <v>12</v>
      </c>
      <c r="D146" t="s">
        <v>20</v>
      </c>
      <c r="E146" t="s">
        <v>13</v>
      </c>
      <c r="F146">
        <v>20.442350000000001</v>
      </c>
      <c r="G146">
        <v>85.904809999999998</v>
      </c>
      <c r="H146">
        <v>1</v>
      </c>
      <c r="I146" t="s">
        <v>14</v>
      </c>
      <c r="J146" t="s">
        <v>12</v>
      </c>
    </row>
    <row r="147" spans="1:10">
      <c r="A147">
        <v>479295</v>
      </c>
      <c r="B147" t="s">
        <v>46</v>
      </c>
      <c r="C147" t="s">
        <v>12</v>
      </c>
      <c r="D147" t="s">
        <v>20</v>
      </c>
      <c r="E147" t="s">
        <v>13</v>
      </c>
      <c r="F147">
        <v>20.455160299999999</v>
      </c>
      <c r="G147">
        <v>85.886655500000003</v>
      </c>
      <c r="H147">
        <v>1</v>
      </c>
      <c r="I147" t="s">
        <v>14</v>
      </c>
      <c r="J147" t="s">
        <v>12</v>
      </c>
    </row>
    <row r="148" spans="1:10">
      <c r="A148">
        <v>479294</v>
      </c>
      <c r="B148" t="s">
        <v>25</v>
      </c>
      <c r="C148" t="s">
        <v>12</v>
      </c>
      <c r="D148" t="s">
        <v>20</v>
      </c>
      <c r="E148" t="s">
        <v>13</v>
      </c>
      <c r="F148">
        <v>20.446043</v>
      </c>
      <c r="G148">
        <v>85.906942700000002</v>
      </c>
      <c r="H148">
        <v>1</v>
      </c>
      <c r="I148" t="s">
        <v>14</v>
      </c>
      <c r="J148" t="s">
        <v>12</v>
      </c>
    </row>
    <row r="149" spans="1:10">
      <c r="A149">
        <v>479293</v>
      </c>
      <c r="B149" t="s">
        <v>24</v>
      </c>
      <c r="C149" t="s">
        <v>12</v>
      </c>
      <c r="D149" t="s">
        <v>20</v>
      </c>
      <c r="E149" t="s">
        <v>13</v>
      </c>
      <c r="F149">
        <v>20.466061499999999</v>
      </c>
      <c r="G149">
        <v>85.905360599999995</v>
      </c>
      <c r="H149">
        <v>1</v>
      </c>
      <c r="I149" t="s">
        <v>14</v>
      </c>
      <c r="J149" t="s">
        <v>12</v>
      </c>
    </row>
    <row r="150" spans="1:10">
      <c r="A150">
        <v>479292</v>
      </c>
      <c r="B150" t="s">
        <v>24</v>
      </c>
      <c r="C150" t="s">
        <v>12</v>
      </c>
      <c r="D150" t="s">
        <v>20</v>
      </c>
      <c r="E150" t="s">
        <v>13</v>
      </c>
      <c r="F150">
        <v>20.474402999999999</v>
      </c>
      <c r="G150">
        <v>85.844799800000004</v>
      </c>
      <c r="H150">
        <v>1</v>
      </c>
      <c r="I150" t="s">
        <v>14</v>
      </c>
      <c r="J150" t="s">
        <v>12</v>
      </c>
    </row>
    <row r="151" spans="1:10">
      <c r="A151">
        <v>479291</v>
      </c>
      <c r="B151" t="s">
        <v>19</v>
      </c>
      <c r="C151" t="s">
        <v>12</v>
      </c>
      <c r="D151" t="s">
        <v>20</v>
      </c>
      <c r="E151" t="s">
        <v>13</v>
      </c>
      <c r="F151">
        <v>20.405161100000001</v>
      </c>
      <c r="G151">
        <v>85.879807700000001</v>
      </c>
      <c r="H151">
        <v>2</v>
      </c>
      <c r="I151" t="s">
        <v>14</v>
      </c>
      <c r="J151" t="s">
        <v>12</v>
      </c>
    </row>
    <row r="152" spans="1:10">
      <c r="A152">
        <v>479290</v>
      </c>
      <c r="B152" t="s">
        <v>32</v>
      </c>
      <c r="C152" t="s">
        <v>12</v>
      </c>
      <c r="D152" t="s">
        <v>20</v>
      </c>
      <c r="E152" t="s">
        <v>13</v>
      </c>
      <c r="F152">
        <v>20.550660300000001</v>
      </c>
      <c r="G152">
        <v>85.774417999999997</v>
      </c>
      <c r="H152">
        <v>1</v>
      </c>
      <c r="I152" t="s">
        <v>14</v>
      </c>
      <c r="J152" t="s">
        <v>12</v>
      </c>
    </row>
    <row r="153" spans="1:10">
      <c r="A153">
        <v>479289</v>
      </c>
      <c r="B153" t="s">
        <v>24</v>
      </c>
      <c r="C153" t="s">
        <v>12</v>
      </c>
      <c r="D153" t="s">
        <v>20</v>
      </c>
      <c r="E153" t="s">
        <v>13</v>
      </c>
      <c r="F153">
        <v>20.462175800000001</v>
      </c>
      <c r="G153">
        <v>85.883743899999999</v>
      </c>
      <c r="H153">
        <v>1</v>
      </c>
      <c r="I153" t="s">
        <v>14</v>
      </c>
      <c r="J153" t="s">
        <v>12</v>
      </c>
    </row>
    <row r="154" spans="1:10">
      <c r="A154">
        <v>479288</v>
      </c>
      <c r="B154" t="s">
        <v>47</v>
      </c>
      <c r="C154" t="s">
        <v>12</v>
      </c>
      <c r="D154" t="s">
        <v>20</v>
      </c>
      <c r="E154" t="s">
        <v>13</v>
      </c>
      <c r="F154">
        <v>20.377014800000001</v>
      </c>
      <c r="G154">
        <v>85.889379300000002</v>
      </c>
      <c r="H154">
        <v>1</v>
      </c>
      <c r="I154" t="s">
        <v>14</v>
      </c>
      <c r="J154" t="s">
        <v>12</v>
      </c>
    </row>
    <row r="155" spans="1:10">
      <c r="A155">
        <v>479287</v>
      </c>
      <c r="B155" t="s">
        <v>22</v>
      </c>
      <c r="C155" t="s">
        <v>12</v>
      </c>
      <c r="D155" t="s">
        <v>20</v>
      </c>
      <c r="E155" t="s">
        <v>13</v>
      </c>
      <c r="F155">
        <v>20.551269699999999</v>
      </c>
      <c r="G155">
        <v>85.985495900000004</v>
      </c>
      <c r="H155">
        <v>1</v>
      </c>
      <c r="I155" t="s">
        <v>14</v>
      </c>
      <c r="J155" t="s">
        <v>12</v>
      </c>
    </row>
    <row r="156" spans="1:10">
      <c r="A156">
        <v>479286</v>
      </c>
      <c r="B156" t="s">
        <v>22</v>
      </c>
      <c r="C156" t="s">
        <v>12</v>
      </c>
      <c r="D156" t="s">
        <v>20</v>
      </c>
      <c r="E156" t="s">
        <v>13</v>
      </c>
      <c r="F156">
        <v>20.289510100000001</v>
      </c>
      <c r="G156">
        <v>86.6453834</v>
      </c>
      <c r="H156">
        <v>1</v>
      </c>
      <c r="I156" t="s">
        <v>14</v>
      </c>
      <c r="J156" t="s">
        <v>12</v>
      </c>
    </row>
    <row r="157" spans="1:10">
      <c r="A157">
        <v>479285</v>
      </c>
      <c r="B157" t="s">
        <v>19</v>
      </c>
      <c r="C157" t="s">
        <v>12</v>
      </c>
      <c r="D157" t="s">
        <v>20</v>
      </c>
      <c r="E157" t="s">
        <v>13</v>
      </c>
      <c r="F157">
        <v>20.307243</v>
      </c>
      <c r="G157">
        <v>86.320751000000001</v>
      </c>
      <c r="H157">
        <v>1</v>
      </c>
      <c r="I157" t="s">
        <v>14</v>
      </c>
      <c r="J157" t="s">
        <v>12</v>
      </c>
    </row>
    <row r="158" spans="1:10">
      <c r="A158">
        <v>479284</v>
      </c>
      <c r="B158" t="s">
        <v>24</v>
      </c>
      <c r="C158" t="s">
        <v>12</v>
      </c>
      <c r="D158" t="s">
        <v>20</v>
      </c>
      <c r="E158" t="s">
        <v>13</v>
      </c>
      <c r="F158">
        <v>20.260697400000002</v>
      </c>
      <c r="G158">
        <v>86.201643700000005</v>
      </c>
      <c r="H158">
        <v>2</v>
      </c>
      <c r="I158" t="s">
        <v>14</v>
      </c>
      <c r="J158" t="s">
        <v>12</v>
      </c>
    </row>
    <row r="159" spans="1:10">
      <c r="A159">
        <v>479283</v>
      </c>
      <c r="B159" t="s">
        <v>29</v>
      </c>
      <c r="C159" t="s">
        <v>12</v>
      </c>
      <c r="D159" t="s">
        <v>20</v>
      </c>
      <c r="E159" t="s">
        <v>13</v>
      </c>
      <c r="F159">
        <v>20.193901</v>
      </c>
      <c r="G159">
        <v>85.859992000000005</v>
      </c>
      <c r="H159">
        <v>1</v>
      </c>
      <c r="I159" t="s">
        <v>14</v>
      </c>
      <c r="J159" t="s">
        <v>12</v>
      </c>
    </row>
    <row r="160" spans="1:10">
      <c r="A160">
        <v>479282</v>
      </c>
      <c r="B160" t="s">
        <v>28</v>
      </c>
      <c r="C160" t="s">
        <v>12</v>
      </c>
      <c r="D160" t="s">
        <v>20</v>
      </c>
      <c r="E160" t="s">
        <v>13</v>
      </c>
      <c r="F160">
        <v>20.289135000000002</v>
      </c>
      <c r="G160">
        <v>85.8152489</v>
      </c>
      <c r="H160">
        <v>1</v>
      </c>
      <c r="I160" t="s">
        <v>14</v>
      </c>
      <c r="J160" t="s">
        <v>12</v>
      </c>
    </row>
    <row r="161" spans="1:10">
      <c r="A161">
        <v>479281</v>
      </c>
      <c r="B161" t="s">
        <v>24</v>
      </c>
      <c r="C161" t="s">
        <v>12</v>
      </c>
      <c r="D161" t="s">
        <v>20</v>
      </c>
      <c r="E161" t="s">
        <v>13</v>
      </c>
      <c r="F161">
        <v>20.315432000000001</v>
      </c>
      <c r="G161">
        <v>85.820539999999994</v>
      </c>
      <c r="H161">
        <v>1</v>
      </c>
      <c r="I161" t="s">
        <v>41</v>
      </c>
      <c r="J161" t="s">
        <v>12</v>
      </c>
    </row>
    <row r="162" spans="1:10">
      <c r="A162">
        <v>479280</v>
      </c>
      <c r="B162" t="s">
        <v>34</v>
      </c>
      <c r="C162" t="s">
        <v>12</v>
      </c>
      <c r="D162" t="s">
        <v>20</v>
      </c>
      <c r="E162" t="s">
        <v>13</v>
      </c>
      <c r="F162">
        <v>20.357017899999999</v>
      </c>
      <c r="G162">
        <v>85.888820300000006</v>
      </c>
      <c r="H162">
        <v>5</v>
      </c>
      <c r="I162" t="s">
        <v>14</v>
      </c>
      <c r="J162" t="s">
        <v>12</v>
      </c>
    </row>
    <row r="163" spans="1:10">
      <c r="A163">
        <v>479279</v>
      </c>
      <c r="B163" t="s">
        <v>24</v>
      </c>
      <c r="C163" t="s">
        <v>12</v>
      </c>
      <c r="D163" t="s">
        <v>20</v>
      </c>
      <c r="E163" t="s">
        <v>13</v>
      </c>
      <c r="F163">
        <v>20.256187000000001</v>
      </c>
      <c r="G163">
        <v>85.786837500000004</v>
      </c>
      <c r="H163">
        <v>2</v>
      </c>
      <c r="I163" t="s">
        <v>14</v>
      </c>
      <c r="J163" t="s">
        <v>12</v>
      </c>
    </row>
    <row r="164" spans="1:10">
      <c r="A164">
        <v>479278</v>
      </c>
      <c r="B164" t="s">
        <v>24</v>
      </c>
      <c r="C164" t="s">
        <v>12</v>
      </c>
      <c r="D164" t="s">
        <v>20</v>
      </c>
      <c r="E164" t="s">
        <v>13</v>
      </c>
      <c r="F164">
        <v>20.2614172</v>
      </c>
      <c r="G164">
        <v>85.843899300000004</v>
      </c>
      <c r="H164">
        <v>1</v>
      </c>
      <c r="I164" t="s">
        <v>14</v>
      </c>
      <c r="J164" t="s">
        <v>12</v>
      </c>
    </row>
    <row r="165" spans="1:10">
      <c r="A165">
        <v>479277</v>
      </c>
      <c r="B165" t="s">
        <v>19</v>
      </c>
      <c r="C165" t="s">
        <v>12</v>
      </c>
      <c r="D165" t="s">
        <v>20</v>
      </c>
      <c r="E165" t="s">
        <v>13</v>
      </c>
      <c r="F165">
        <v>20.299550100000001</v>
      </c>
      <c r="G165">
        <v>85.830973499999999</v>
      </c>
      <c r="H165">
        <v>1</v>
      </c>
      <c r="I165" t="s">
        <v>14</v>
      </c>
      <c r="J165" t="s">
        <v>12</v>
      </c>
    </row>
    <row r="166" spans="1:10">
      <c r="A166">
        <v>479276</v>
      </c>
      <c r="B166" t="s">
        <v>48</v>
      </c>
      <c r="C166" t="s">
        <v>12</v>
      </c>
      <c r="D166" t="s">
        <v>20</v>
      </c>
      <c r="E166" t="s">
        <v>13</v>
      </c>
      <c r="F166">
        <v>20.291476299999999</v>
      </c>
      <c r="G166">
        <v>85.856012199999995</v>
      </c>
      <c r="H166">
        <v>2</v>
      </c>
      <c r="I166" t="s">
        <v>14</v>
      </c>
      <c r="J166" t="s">
        <v>12</v>
      </c>
    </row>
    <row r="167" spans="1:10">
      <c r="A167">
        <v>479275</v>
      </c>
      <c r="B167" t="s">
        <v>24</v>
      </c>
      <c r="C167" t="s">
        <v>12</v>
      </c>
      <c r="D167" t="s">
        <v>20</v>
      </c>
      <c r="E167" t="s">
        <v>13</v>
      </c>
      <c r="F167">
        <v>20.266953699999998</v>
      </c>
      <c r="G167">
        <v>85.869423900000001</v>
      </c>
      <c r="H167">
        <v>1</v>
      </c>
      <c r="I167" t="s">
        <v>14</v>
      </c>
      <c r="J167" t="s">
        <v>12</v>
      </c>
    </row>
    <row r="168" spans="1:10">
      <c r="A168">
        <v>479274</v>
      </c>
      <c r="B168" t="s">
        <v>25</v>
      </c>
      <c r="C168" t="s">
        <v>12</v>
      </c>
      <c r="D168" t="s">
        <v>20</v>
      </c>
      <c r="E168" t="s">
        <v>13</v>
      </c>
      <c r="F168">
        <v>20.2640837</v>
      </c>
      <c r="G168">
        <v>85.845767899999998</v>
      </c>
      <c r="H168">
        <v>1</v>
      </c>
      <c r="I168" t="s">
        <v>14</v>
      </c>
      <c r="J168" t="s">
        <v>12</v>
      </c>
    </row>
    <row r="169" spans="1:10">
      <c r="A169">
        <v>479273</v>
      </c>
      <c r="B169" t="s">
        <v>48</v>
      </c>
      <c r="C169" t="s">
        <v>12</v>
      </c>
      <c r="D169" t="s">
        <v>20</v>
      </c>
      <c r="E169" t="s">
        <v>13</v>
      </c>
      <c r="F169">
        <v>20.245771999999999</v>
      </c>
      <c r="G169">
        <v>85.783043000000006</v>
      </c>
      <c r="H169">
        <v>2</v>
      </c>
      <c r="I169" t="s">
        <v>14</v>
      </c>
      <c r="J169" t="s">
        <v>12</v>
      </c>
    </row>
    <row r="170" spans="1:10">
      <c r="A170">
        <v>479272</v>
      </c>
      <c r="B170" t="s">
        <v>19</v>
      </c>
      <c r="C170" t="s">
        <v>12</v>
      </c>
      <c r="D170" t="s">
        <v>20</v>
      </c>
      <c r="E170" t="s">
        <v>13</v>
      </c>
      <c r="F170">
        <v>20.259014000000001</v>
      </c>
      <c r="G170">
        <v>85.839705899999998</v>
      </c>
      <c r="H170">
        <v>2</v>
      </c>
      <c r="I170" t="s">
        <v>14</v>
      </c>
      <c r="J170" t="s">
        <v>12</v>
      </c>
    </row>
    <row r="171" spans="1:10">
      <c r="A171">
        <v>479271</v>
      </c>
      <c r="B171" t="s">
        <v>24</v>
      </c>
      <c r="C171" t="s">
        <v>12</v>
      </c>
      <c r="D171" t="s">
        <v>20</v>
      </c>
      <c r="E171" t="s">
        <v>13</v>
      </c>
      <c r="F171">
        <v>20.271038600000001</v>
      </c>
      <c r="G171">
        <v>85.783829299999994</v>
      </c>
      <c r="H171">
        <v>1</v>
      </c>
      <c r="I171" t="s">
        <v>14</v>
      </c>
      <c r="J171" t="s">
        <v>12</v>
      </c>
    </row>
    <row r="172" spans="1:10">
      <c r="A172">
        <v>479270</v>
      </c>
      <c r="B172" t="s">
        <v>24</v>
      </c>
      <c r="C172" t="s">
        <v>12</v>
      </c>
      <c r="D172" t="s">
        <v>20</v>
      </c>
      <c r="E172" t="s">
        <v>13</v>
      </c>
      <c r="F172">
        <v>20.298635099999998</v>
      </c>
      <c r="G172">
        <v>85.822708599999999</v>
      </c>
      <c r="H172">
        <v>1</v>
      </c>
      <c r="I172" t="s">
        <v>14</v>
      </c>
      <c r="J172" t="s">
        <v>12</v>
      </c>
    </row>
    <row r="173" spans="1:10">
      <c r="A173">
        <v>479269</v>
      </c>
      <c r="B173" t="s">
        <v>34</v>
      </c>
      <c r="C173" t="s">
        <v>12</v>
      </c>
      <c r="D173" t="s">
        <v>20</v>
      </c>
      <c r="E173" t="s">
        <v>13</v>
      </c>
      <c r="F173">
        <v>20.2529878</v>
      </c>
      <c r="G173">
        <v>85.818779000000006</v>
      </c>
      <c r="H173">
        <v>2</v>
      </c>
      <c r="I173" t="s">
        <v>14</v>
      </c>
      <c r="J173" t="s">
        <v>12</v>
      </c>
    </row>
    <row r="174" spans="1:10">
      <c r="A174">
        <v>479268</v>
      </c>
      <c r="B174" t="s">
        <v>25</v>
      </c>
      <c r="C174" t="s">
        <v>12</v>
      </c>
      <c r="D174" t="s">
        <v>20</v>
      </c>
      <c r="E174" t="s">
        <v>13</v>
      </c>
      <c r="F174">
        <v>20.247610699999999</v>
      </c>
      <c r="G174">
        <v>85.840984599999999</v>
      </c>
      <c r="H174">
        <v>1</v>
      </c>
      <c r="I174" t="s">
        <v>14</v>
      </c>
      <c r="J174" t="s">
        <v>12</v>
      </c>
    </row>
    <row r="175" spans="1:10">
      <c r="A175">
        <v>479267</v>
      </c>
      <c r="B175" t="s">
        <v>24</v>
      </c>
      <c r="C175" t="s">
        <v>12</v>
      </c>
      <c r="D175" t="s">
        <v>20</v>
      </c>
      <c r="E175" t="s">
        <v>13</v>
      </c>
      <c r="F175">
        <v>20.283109</v>
      </c>
      <c r="G175">
        <v>85.806011100000006</v>
      </c>
      <c r="H175">
        <v>1</v>
      </c>
      <c r="I175" t="s">
        <v>14</v>
      </c>
      <c r="J175" t="s">
        <v>12</v>
      </c>
    </row>
    <row r="176" spans="1:10">
      <c r="A176">
        <v>479266</v>
      </c>
      <c r="B176" t="s">
        <v>29</v>
      </c>
      <c r="C176" t="s">
        <v>12</v>
      </c>
      <c r="D176" t="s">
        <v>20</v>
      </c>
      <c r="E176" t="s">
        <v>13</v>
      </c>
      <c r="F176">
        <v>20.254729999999999</v>
      </c>
      <c r="G176">
        <v>85.787240999999995</v>
      </c>
      <c r="H176">
        <v>2</v>
      </c>
      <c r="I176" t="s">
        <v>14</v>
      </c>
      <c r="J176" t="s">
        <v>12</v>
      </c>
    </row>
    <row r="177" spans="1:10">
      <c r="A177">
        <v>479265</v>
      </c>
      <c r="B177" t="s">
        <v>19</v>
      </c>
      <c r="C177" t="s">
        <v>12</v>
      </c>
      <c r="D177" t="s">
        <v>20</v>
      </c>
      <c r="E177" t="s">
        <v>13</v>
      </c>
      <c r="F177">
        <v>20.226997399999998</v>
      </c>
      <c r="G177">
        <v>85.841081000000003</v>
      </c>
      <c r="H177">
        <v>3</v>
      </c>
      <c r="I177" t="s">
        <v>14</v>
      </c>
      <c r="J177" t="s">
        <v>12</v>
      </c>
    </row>
    <row r="178" spans="1:10">
      <c r="A178">
        <v>479264</v>
      </c>
      <c r="B178" t="s">
        <v>49</v>
      </c>
      <c r="C178" t="s">
        <v>12</v>
      </c>
      <c r="D178" t="s">
        <v>20</v>
      </c>
      <c r="E178" t="s">
        <v>13</v>
      </c>
      <c r="F178">
        <v>20.257376099999998</v>
      </c>
      <c r="G178">
        <v>85.840973000000005</v>
      </c>
      <c r="H178">
        <v>1</v>
      </c>
      <c r="I178" t="s">
        <v>14</v>
      </c>
      <c r="J178" t="s">
        <v>12</v>
      </c>
    </row>
    <row r="179" spans="1:10">
      <c r="A179">
        <v>479263</v>
      </c>
      <c r="B179" t="s">
        <v>50</v>
      </c>
      <c r="C179" t="s">
        <v>12</v>
      </c>
      <c r="D179" t="s">
        <v>20</v>
      </c>
      <c r="E179" t="s">
        <v>13</v>
      </c>
      <c r="F179">
        <v>20.227714800000001</v>
      </c>
      <c r="G179">
        <v>85.735630400000005</v>
      </c>
      <c r="H179">
        <v>1</v>
      </c>
      <c r="I179" t="s">
        <v>14</v>
      </c>
      <c r="J179" t="s">
        <v>12</v>
      </c>
    </row>
    <row r="180" spans="1:10">
      <c r="A180">
        <v>479262</v>
      </c>
      <c r="B180" t="s">
        <v>48</v>
      </c>
      <c r="C180" t="s">
        <v>12</v>
      </c>
      <c r="D180" t="s">
        <v>20</v>
      </c>
      <c r="E180" t="s">
        <v>13</v>
      </c>
      <c r="F180">
        <v>20.205642999999998</v>
      </c>
      <c r="G180">
        <v>85.644065999999995</v>
      </c>
      <c r="H180">
        <v>2</v>
      </c>
      <c r="I180" t="s">
        <v>14</v>
      </c>
      <c r="J180" t="s">
        <v>12</v>
      </c>
    </row>
    <row r="181" spans="1:10">
      <c r="A181">
        <v>479261</v>
      </c>
      <c r="B181" t="s">
        <v>19</v>
      </c>
      <c r="C181" t="s">
        <v>12</v>
      </c>
      <c r="D181" t="s">
        <v>20</v>
      </c>
      <c r="E181" t="s">
        <v>13</v>
      </c>
      <c r="F181">
        <v>20.241180100000001</v>
      </c>
      <c r="G181">
        <v>85.759155500000006</v>
      </c>
      <c r="H181">
        <v>3</v>
      </c>
      <c r="I181" t="s">
        <v>14</v>
      </c>
      <c r="J181" t="s">
        <v>12</v>
      </c>
    </row>
    <row r="182" spans="1:10">
      <c r="A182">
        <v>479260</v>
      </c>
      <c r="B182" t="s">
        <v>19</v>
      </c>
      <c r="C182" t="s">
        <v>12</v>
      </c>
      <c r="D182" t="s">
        <v>20</v>
      </c>
      <c r="E182" t="s">
        <v>13</v>
      </c>
      <c r="F182">
        <v>20.238164999999999</v>
      </c>
      <c r="G182">
        <v>85.756642999999997</v>
      </c>
      <c r="H182">
        <v>2</v>
      </c>
      <c r="I182" t="s">
        <v>14</v>
      </c>
      <c r="J182" t="s">
        <v>12</v>
      </c>
    </row>
    <row r="183" spans="1:10">
      <c r="A183">
        <v>479259</v>
      </c>
      <c r="B183" t="s">
        <v>51</v>
      </c>
      <c r="C183" t="s">
        <v>12</v>
      </c>
      <c r="D183" t="s">
        <v>20</v>
      </c>
      <c r="E183" t="s">
        <v>13</v>
      </c>
      <c r="F183">
        <v>20.255514099999999</v>
      </c>
      <c r="G183">
        <v>85.686663699999997</v>
      </c>
      <c r="H183">
        <v>1</v>
      </c>
      <c r="I183" t="s">
        <v>14</v>
      </c>
      <c r="J183" t="s">
        <v>12</v>
      </c>
    </row>
    <row r="184" spans="1:10">
      <c r="A184">
        <v>479258</v>
      </c>
      <c r="B184" t="s">
        <v>43</v>
      </c>
      <c r="C184" t="s">
        <v>12</v>
      </c>
      <c r="D184" t="s">
        <v>20</v>
      </c>
      <c r="E184" t="s">
        <v>13</v>
      </c>
      <c r="F184">
        <v>20.242778000000001</v>
      </c>
      <c r="G184">
        <v>85.756117000000003</v>
      </c>
      <c r="H184">
        <v>1</v>
      </c>
      <c r="I184" t="s">
        <v>14</v>
      </c>
      <c r="J184" t="s">
        <v>12</v>
      </c>
    </row>
    <row r="185" spans="1:10">
      <c r="A185">
        <v>479257</v>
      </c>
      <c r="B185" t="s">
        <v>51</v>
      </c>
      <c r="C185" t="s">
        <v>12</v>
      </c>
      <c r="D185" t="s">
        <v>20</v>
      </c>
      <c r="E185" t="s">
        <v>13</v>
      </c>
      <c r="F185">
        <v>20.253022300000001</v>
      </c>
      <c r="G185">
        <v>85.6869698</v>
      </c>
      <c r="H185">
        <v>7</v>
      </c>
      <c r="I185" t="s">
        <v>14</v>
      </c>
      <c r="J185" t="s">
        <v>12</v>
      </c>
    </row>
    <row r="186" spans="1:10">
      <c r="A186">
        <v>479256</v>
      </c>
      <c r="B186" t="s">
        <v>51</v>
      </c>
      <c r="C186" t="s">
        <v>12</v>
      </c>
      <c r="D186" t="s">
        <v>20</v>
      </c>
      <c r="E186" t="s">
        <v>13</v>
      </c>
      <c r="F186">
        <v>20.254699200000001</v>
      </c>
      <c r="G186">
        <v>85.686781400000001</v>
      </c>
      <c r="H186">
        <v>1</v>
      </c>
      <c r="I186" t="s">
        <v>14</v>
      </c>
      <c r="J186" t="s">
        <v>12</v>
      </c>
    </row>
    <row r="187" spans="1:10">
      <c r="A187">
        <v>479255</v>
      </c>
      <c r="B187" t="s">
        <v>19</v>
      </c>
      <c r="C187" t="s">
        <v>12</v>
      </c>
      <c r="D187" t="s">
        <v>20</v>
      </c>
      <c r="E187" t="s">
        <v>13</v>
      </c>
      <c r="F187">
        <v>20.230607800000001</v>
      </c>
      <c r="G187">
        <v>85.737670699999995</v>
      </c>
      <c r="H187">
        <v>2</v>
      </c>
      <c r="I187" t="s">
        <v>14</v>
      </c>
      <c r="J187" t="s">
        <v>12</v>
      </c>
    </row>
    <row r="188" spans="1:10">
      <c r="A188">
        <v>479254</v>
      </c>
      <c r="B188" t="s">
        <v>19</v>
      </c>
      <c r="C188" t="s">
        <v>12</v>
      </c>
      <c r="D188" t="s">
        <v>20</v>
      </c>
      <c r="E188" t="s">
        <v>13</v>
      </c>
      <c r="F188">
        <v>20.240743599999998</v>
      </c>
      <c r="G188">
        <v>85.759028099999995</v>
      </c>
      <c r="H188">
        <v>1</v>
      </c>
      <c r="I188" t="s">
        <v>14</v>
      </c>
      <c r="J188" t="s">
        <v>12</v>
      </c>
    </row>
    <row r="189" spans="1:10">
      <c r="A189">
        <v>479253</v>
      </c>
      <c r="B189" t="s">
        <v>28</v>
      </c>
      <c r="C189" t="s">
        <v>12</v>
      </c>
      <c r="D189" t="s">
        <v>20</v>
      </c>
      <c r="E189" t="s">
        <v>13</v>
      </c>
      <c r="F189">
        <v>20.223617999999998</v>
      </c>
      <c r="G189">
        <v>85.726761999999994</v>
      </c>
      <c r="H189">
        <v>1</v>
      </c>
      <c r="I189" t="s">
        <v>14</v>
      </c>
      <c r="J189" t="s">
        <v>12</v>
      </c>
    </row>
    <row r="190" spans="1:10">
      <c r="A190">
        <v>479252</v>
      </c>
      <c r="B190" t="s">
        <v>28</v>
      </c>
      <c r="C190" t="s">
        <v>12</v>
      </c>
      <c r="D190" t="s">
        <v>20</v>
      </c>
      <c r="E190" t="s">
        <v>13</v>
      </c>
      <c r="F190">
        <v>20.1939131</v>
      </c>
      <c r="G190">
        <v>85.652148800000006</v>
      </c>
      <c r="H190">
        <v>1</v>
      </c>
      <c r="I190" t="s">
        <v>14</v>
      </c>
      <c r="J190" t="s">
        <v>12</v>
      </c>
    </row>
    <row r="191" spans="1:10">
      <c r="A191">
        <v>479251</v>
      </c>
      <c r="B191" t="s">
        <v>24</v>
      </c>
      <c r="C191" t="s">
        <v>12</v>
      </c>
      <c r="D191" t="s">
        <v>20</v>
      </c>
      <c r="E191" t="s">
        <v>13</v>
      </c>
      <c r="F191">
        <v>20.178872999999999</v>
      </c>
      <c r="G191">
        <v>85.611530000000002</v>
      </c>
      <c r="H191">
        <v>1</v>
      </c>
      <c r="I191" t="s">
        <v>14</v>
      </c>
      <c r="J191" t="s">
        <v>12</v>
      </c>
    </row>
    <row r="192" spans="1:10">
      <c r="A192">
        <v>479250</v>
      </c>
      <c r="B192" t="s">
        <v>22</v>
      </c>
      <c r="C192" t="s">
        <v>12</v>
      </c>
      <c r="D192" t="s">
        <v>20</v>
      </c>
      <c r="E192" t="s">
        <v>13</v>
      </c>
      <c r="F192">
        <v>20.154535800000001</v>
      </c>
      <c r="G192">
        <v>85.063788099999996</v>
      </c>
      <c r="H192">
        <v>1</v>
      </c>
      <c r="I192" t="s">
        <v>14</v>
      </c>
      <c r="J192" t="s">
        <v>12</v>
      </c>
    </row>
    <row r="193" spans="1:10">
      <c r="A193">
        <v>479249</v>
      </c>
      <c r="B193" t="s">
        <v>23</v>
      </c>
      <c r="C193" t="s">
        <v>12</v>
      </c>
      <c r="D193" t="s">
        <v>20</v>
      </c>
      <c r="E193" t="s">
        <v>13</v>
      </c>
      <c r="F193">
        <v>20.141300999999999</v>
      </c>
      <c r="G193">
        <v>83.968361999999999</v>
      </c>
      <c r="H193">
        <v>1</v>
      </c>
      <c r="I193" t="s">
        <v>14</v>
      </c>
      <c r="J193" t="s">
        <v>12</v>
      </c>
    </row>
    <row r="194" spans="1:10">
      <c r="A194">
        <v>479248</v>
      </c>
      <c r="B194" t="s">
        <v>28</v>
      </c>
      <c r="C194" t="s">
        <v>12</v>
      </c>
      <c r="D194" t="s">
        <v>20</v>
      </c>
      <c r="E194" t="s">
        <v>13</v>
      </c>
      <c r="F194">
        <v>20.202786400000001</v>
      </c>
      <c r="G194">
        <v>82.936256</v>
      </c>
      <c r="H194">
        <v>1</v>
      </c>
      <c r="I194" t="s">
        <v>14</v>
      </c>
      <c r="J194" t="s">
        <v>12</v>
      </c>
    </row>
    <row r="195" spans="1:10">
      <c r="A195">
        <v>479247</v>
      </c>
      <c r="B195" t="s">
        <v>29</v>
      </c>
      <c r="C195" t="s">
        <v>12</v>
      </c>
      <c r="D195" t="s">
        <v>20</v>
      </c>
      <c r="E195" t="s">
        <v>13</v>
      </c>
      <c r="F195">
        <v>20.3013862</v>
      </c>
      <c r="G195">
        <v>82.751643299999998</v>
      </c>
      <c r="H195">
        <v>2</v>
      </c>
      <c r="I195" t="s">
        <v>14</v>
      </c>
      <c r="J195" t="s">
        <v>12</v>
      </c>
    </row>
    <row r="196" spans="1:10">
      <c r="A196">
        <v>479246</v>
      </c>
      <c r="B196" t="s">
        <v>52</v>
      </c>
      <c r="C196" t="s">
        <v>12</v>
      </c>
      <c r="D196" t="s">
        <v>20</v>
      </c>
      <c r="E196" t="s">
        <v>13</v>
      </c>
      <c r="F196">
        <v>20.029996300000001</v>
      </c>
      <c r="G196">
        <v>86.131915000000006</v>
      </c>
      <c r="H196">
        <v>1</v>
      </c>
      <c r="I196" t="s">
        <v>14</v>
      </c>
      <c r="J196" t="s">
        <v>12</v>
      </c>
    </row>
    <row r="197" spans="1:10">
      <c r="A197">
        <v>479245</v>
      </c>
      <c r="B197" t="s">
        <v>32</v>
      </c>
      <c r="C197" t="s">
        <v>12</v>
      </c>
      <c r="D197" t="s">
        <v>20</v>
      </c>
      <c r="E197" t="s">
        <v>13</v>
      </c>
      <c r="F197">
        <v>20.036225999999999</v>
      </c>
      <c r="G197">
        <v>85.825446999999997</v>
      </c>
      <c r="H197">
        <v>1</v>
      </c>
      <c r="I197" t="s">
        <v>14</v>
      </c>
      <c r="J197" t="s">
        <v>12</v>
      </c>
    </row>
    <row r="198" spans="1:10">
      <c r="A198">
        <v>479244</v>
      </c>
      <c r="B198" t="s">
        <v>32</v>
      </c>
      <c r="C198" t="s">
        <v>12</v>
      </c>
      <c r="D198" t="s">
        <v>20</v>
      </c>
      <c r="E198" t="s">
        <v>13</v>
      </c>
      <c r="F198">
        <v>19.9812257</v>
      </c>
      <c r="G198">
        <v>85.825119299999997</v>
      </c>
      <c r="H198">
        <v>1</v>
      </c>
      <c r="I198" t="s">
        <v>14</v>
      </c>
      <c r="J198" t="s">
        <v>12</v>
      </c>
    </row>
    <row r="199" spans="1:10">
      <c r="A199">
        <v>479243</v>
      </c>
      <c r="B199" t="s">
        <v>25</v>
      </c>
      <c r="C199" t="s">
        <v>12</v>
      </c>
      <c r="D199" t="s">
        <v>20</v>
      </c>
      <c r="E199" t="s">
        <v>13</v>
      </c>
      <c r="F199">
        <v>20.001994</v>
      </c>
      <c r="G199">
        <v>85.820541399999996</v>
      </c>
      <c r="H199">
        <v>1</v>
      </c>
      <c r="I199" t="s">
        <v>14</v>
      </c>
      <c r="J199" t="s">
        <v>12</v>
      </c>
    </row>
    <row r="200" spans="1:10">
      <c r="A200">
        <v>479242</v>
      </c>
      <c r="B200" t="s">
        <v>24</v>
      </c>
      <c r="C200" t="s">
        <v>12</v>
      </c>
      <c r="D200" t="s">
        <v>20</v>
      </c>
      <c r="E200" t="s">
        <v>13</v>
      </c>
      <c r="F200">
        <v>19.913864</v>
      </c>
      <c r="G200">
        <v>85.989750000000001</v>
      </c>
      <c r="H200">
        <v>1</v>
      </c>
      <c r="I200" t="s">
        <v>41</v>
      </c>
      <c r="J200" t="s">
        <v>12</v>
      </c>
    </row>
    <row r="201" spans="1:10">
      <c r="A201">
        <v>479241</v>
      </c>
      <c r="B201" t="s">
        <v>28</v>
      </c>
      <c r="C201" t="s">
        <v>12</v>
      </c>
      <c r="D201" t="s">
        <v>20</v>
      </c>
      <c r="E201" t="s">
        <v>13</v>
      </c>
      <c r="F201">
        <v>20.008977699999999</v>
      </c>
      <c r="G201">
        <v>85.813849599999998</v>
      </c>
      <c r="H201">
        <v>1</v>
      </c>
      <c r="I201" t="s">
        <v>14</v>
      </c>
      <c r="J201" t="s">
        <v>12</v>
      </c>
    </row>
    <row r="202" spans="1:10">
      <c r="A202">
        <v>479240</v>
      </c>
      <c r="B202" t="s">
        <v>29</v>
      </c>
      <c r="C202" t="s">
        <v>12</v>
      </c>
      <c r="D202" t="s">
        <v>20</v>
      </c>
      <c r="E202" t="s">
        <v>13</v>
      </c>
      <c r="F202">
        <v>20.009093499999999</v>
      </c>
      <c r="G202">
        <v>85.813832000000005</v>
      </c>
      <c r="H202">
        <v>1</v>
      </c>
      <c r="I202" t="s">
        <v>14</v>
      </c>
      <c r="J202" t="s">
        <v>12</v>
      </c>
    </row>
    <row r="203" spans="1:10">
      <c r="A203">
        <v>479239</v>
      </c>
      <c r="B203" t="s">
        <v>19</v>
      </c>
      <c r="C203" t="s">
        <v>12</v>
      </c>
      <c r="D203" t="s">
        <v>20</v>
      </c>
      <c r="E203" t="s">
        <v>13</v>
      </c>
      <c r="F203">
        <v>19.8373153</v>
      </c>
      <c r="G203">
        <v>85.836626600000002</v>
      </c>
      <c r="H203">
        <v>2</v>
      </c>
      <c r="I203" t="s">
        <v>14</v>
      </c>
      <c r="J203" t="s">
        <v>12</v>
      </c>
    </row>
    <row r="204" spans="1:10">
      <c r="A204">
        <v>479238</v>
      </c>
      <c r="B204" t="s">
        <v>22</v>
      </c>
      <c r="C204" t="s">
        <v>12</v>
      </c>
      <c r="D204" t="s">
        <v>20</v>
      </c>
      <c r="E204" t="s">
        <v>13</v>
      </c>
      <c r="F204">
        <v>19.887409000000002</v>
      </c>
      <c r="G204">
        <v>85.803106</v>
      </c>
      <c r="H204">
        <v>1</v>
      </c>
      <c r="I204" t="s">
        <v>14</v>
      </c>
      <c r="J204" t="s">
        <v>12</v>
      </c>
    </row>
    <row r="205" spans="1:10">
      <c r="A205">
        <v>479237</v>
      </c>
      <c r="B205" t="s">
        <v>24</v>
      </c>
      <c r="C205" t="s">
        <v>12</v>
      </c>
      <c r="D205" t="s">
        <v>20</v>
      </c>
      <c r="E205" t="s">
        <v>13</v>
      </c>
      <c r="F205">
        <v>19.864923000000001</v>
      </c>
      <c r="G205">
        <v>85.665670000000006</v>
      </c>
      <c r="H205">
        <v>1</v>
      </c>
      <c r="I205" t="s">
        <v>14</v>
      </c>
      <c r="J205" t="s">
        <v>12</v>
      </c>
    </row>
    <row r="206" spans="1:10">
      <c r="A206">
        <v>479236</v>
      </c>
      <c r="B206" t="s">
        <v>19</v>
      </c>
      <c r="C206" t="s">
        <v>12</v>
      </c>
      <c r="D206" t="s">
        <v>20</v>
      </c>
      <c r="E206" t="s">
        <v>13</v>
      </c>
      <c r="F206">
        <v>19.9604389</v>
      </c>
      <c r="G206">
        <v>85.433603099999999</v>
      </c>
      <c r="H206">
        <v>1</v>
      </c>
      <c r="I206" t="s">
        <v>14</v>
      </c>
      <c r="J206" t="s">
        <v>12</v>
      </c>
    </row>
    <row r="207" spans="1:10">
      <c r="A207">
        <v>479235</v>
      </c>
      <c r="B207" t="s">
        <v>29</v>
      </c>
      <c r="C207" t="s">
        <v>12</v>
      </c>
      <c r="D207" t="s">
        <v>20</v>
      </c>
      <c r="E207" t="s">
        <v>13</v>
      </c>
      <c r="F207">
        <v>19.995597</v>
      </c>
      <c r="G207">
        <v>85.479968</v>
      </c>
      <c r="H207">
        <v>1</v>
      </c>
      <c r="I207" t="s">
        <v>14</v>
      </c>
      <c r="J207" t="s">
        <v>12</v>
      </c>
    </row>
    <row r="208" spans="1:10">
      <c r="A208">
        <v>479234</v>
      </c>
      <c r="B208" t="s">
        <v>22</v>
      </c>
      <c r="C208" t="s">
        <v>12</v>
      </c>
      <c r="D208" t="s">
        <v>20</v>
      </c>
      <c r="E208" t="s">
        <v>13</v>
      </c>
      <c r="F208">
        <v>19.990167199999998</v>
      </c>
      <c r="G208">
        <v>85.473652700000002</v>
      </c>
      <c r="H208">
        <v>1</v>
      </c>
      <c r="I208" t="s">
        <v>14</v>
      </c>
      <c r="J208" t="s">
        <v>12</v>
      </c>
    </row>
    <row r="209" spans="1:10">
      <c r="A209">
        <v>479233</v>
      </c>
      <c r="B209" t="s">
        <v>24</v>
      </c>
      <c r="C209" t="s">
        <v>12</v>
      </c>
      <c r="D209" t="s">
        <v>20</v>
      </c>
      <c r="E209" t="s">
        <v>13</v>
      </c>
      <c r="F209">
        <v>19.924364000000001</v>
      </c>
      <c r="G209">
        <v>84.571349999999995</v>
      </c>
      <c r="H209">
        <v>1</v>
      </c>
      <c r="I209" t="s">
        <v>14</v>
      </c>
      <c r="J209" t="s">
        <v>12</v>
      </c>
    </row>
    <row r="210" spans="1:10">
      <c r="A210">
        <v>479232</v>
      </c>
      <c r="B210" t="s">
        <v>23</v>
      </c>
      <c r="C210" t="s">
        <v>12</v>
      </c>
      <c r="D210" t="s">
        <v>20</v>
      </c>
      <c r="E210" t="s">
        <v>13</v>
      </c>
      <c r="F210">
        <v>20.038906999999998</v>
      </c>
      <c r="G210">
        <v>84.638569000000004</v>
      </c>
      <c r="H210">
        <v>1</v>
      </c>
      <c r="I210" t="s">
        <v>14</v>
      </c>
      <c r="J210" t="s">
        <v>12</v>
      </c>
    </row>
    <row r="211" spans="1:10">
      <c r="A211">
        <v>479231</v>
      </c>
      <c r="B211" t="s">
        <v>19</v>
      </c>
      <c r="C211" t="s">
        <v>12</v>
      </c>
      <c r="D211" t="s">
        <v>20</v>
      </c>
      <c r="E211" t="s">
        <v>13</v>
      </c>
      <c r="F211">
        <v>19.924914999999999</v>
      </c>
      <c r="G211">
        <v>83.174075000000002</v>
      </c>
      <c r="H211">
        <v>1</v>
      </c>
      <c r="I211" t="s">
        <v>14</v>
      </c>
      <c r="J211" t="s">
        <v>12</v>
      </c>
    </row>
    <row r="212" spans="1:10">
      <c r="A212">
        <v>479230</v>
      </c>
      <c r="B212" t="s">
        <v>28</v>
      </c>
      <c r="C212" t="s">
        <v>12</v>
      </c>
      <c r="D212" t="s">
        <v>20</v>
      </c>
      <c r="E212" t="s">
        <v>13</v>
      </c>
      <c r="F212">
        <v>20.088792399999999</v>
      </c>
      <c r="G212">
        <v>82.362104900000006</v>
      </c>
      <c r="H212">
        <v>11</v>
      </c>
      <c r="I212" t="s">
        <v>14</v>
      </c>
      <c r="J212" t="s">
        <v>12</v>
      </c>
    </row>
    <row r="213" spans="1:10">
      <c r="A213">
        <v>479229</v>
      </c>
      <c r="B213" t="s">
        <v>53</v>
      </c>
      <c r="C213" t="s">
        <v>12</v>
      </c>
      <c r="D213" t="s">
        <v>20</v>
      </c>
      <c r="E213" t="s">
        <v>13</v>
      </c>
      <c r="F213">
        <v>19.813480800000001</v>
      </c>
      <c r="G213">
        <v>85.836299699999998</v>
      </c>
      <c r="H213">
        <v>1</v>
      </c>
      <c r="I213" t="s">
        <v>14</v>
      </c>
      <c r="J213" t="s">
        <v>12</v>
      </c>
    </row>
    <row r="214" spans="1:10">
      <c r="A214">
        <v>479228</v>
      </c>
      <c r="B214" t="s">
        <v>24</v>
      </c>
      <c r="C214" t="s">
        <v>12</v>
      </c>
      <c r="D214" t="s">
        <v>20</v>
      </c>
      <c r="E214" t="s">
        <v>13</v>
      </c>
      <c r="F214">
        <v>19.7952607</v>
      </c>
      <c r="G214">
        <v>85.813280899999995</v>
      </c>
      <c r="H214">
        <v>1</v>
      </c>
      <c r="I214" t="s">
        <v>14</v>
      </c>
      <c r="J214" t="s">
        <v>12</v>
      </c>
    </row>
    <row r="215" spans="1:10">
      <c r="A215">
        <v>479227</v>
      </c>
      <c r="B215" t="s">
        <v>54</v>
      </c>
      <c r="C215" t="s">
        <v>12</v>
      </c>
      <c r="D215" t="s">
        <v>20</v>
      </c>
      <c r="E215" t="s">
        <v>13</v>
      </c>
      <c r="F215">
        <v>19.802419700000002</v>
      </c>
      <c r="G215">
        <v>85.823939899999999</v>
      </c>
      <c r="H215">
        <v>1</v>
      </c>
      <c r="I215" t="s">
        <v>14</v>
      </c>
      <c r="J215" t="s">
        <v>12</v>
      </c>
    </row>
    <row r="216" spans="1:10">
      <c r="A216">
        <v>479226</v>
      </c>
      <c r="B216" t="s">
        <v>55</v>
      </c>
      <c r="C216" t="s">
        <v>12</v>
      </c>
      <c r="D216" t="s">
        <v>20</v>
      </c>
      <c r="E216" t="s">
        <v>13</v>
      </c>
      <c r="F216">
        <v>19.790746200000001</v>
      </c>
      <c r="G216">
        <v>85.803086800000003</v>
      </c>
      <c r="H216">
        <v>1</v>
      </c>
      <c r="I216" t="s">
        <v>14</v>
      </c>
      <c r="J216" t="s">
        <v>12</v>
      </c>
    </row>
    <row r="217" spans="1:10">
      <c r="A217">
        <v>479225</v>
      </c>
      <c r="B217" t="s">
        <v>28</v>
      </c>
      <c r="C217" t="s">
        <v>12</v>
      </c>
      <c r="D217" t="s">
        <v>20</v>
      </c>
      <c r="E217" t="s">
        <v>13</v>
      </c>
      <c r="F217">
        <v>19.718938000000001</v>
      </c>
      <c r="G217">
        <v>85.5235713</v>
      </c>
      <c r="H217">
        <v>1</v>
      </c>
      <c r="I217" t="s">
        <v>14</v>
      </c>
      <c r="J217" t="s">
        <v>12</v>
      </c>
    </row>
    <row r="218" spans="1:10">
      <c r="A218">
        <v>479224</v>
      </c>
      <c r="B218" t="s">
        <v>24</v>
      </c>
      <c r="C218" t="s">
        <v>12</v>
      </c>
      <c r="D218" t="s">
        <v>20</v>
      </c>
      <c r="E218" t="s">
        <v>13</v>
      </c>
      <c r="F218">
        <v>19.799157999999998</v>
      </c>
      <c r="G218">
        <v>85.664565999999994</v>
      </c>
      <c r="H218">
        <v>1</v>
      </c>
      <c r="I218" t="s">
        <v>14</v>
      </c>
      <c r="J218" t="s">
        <v>12</v>
      </c>
    </row>
    <row r="219" spans="1:10">
      <c r="A219">
        <v>479223</v>
      </c>
      <c r="B219" t="s">
        <v>24</v>
      </c>
      <c r="C219" t="s">
        <v>12</v>
      </c>
      <c r="D219" t="s">
        <v>20</v>
      </c>
      <c r="E219" t="s">
        <v>13</v>
      </c>
      <c r="F219">
        <v>19.719349999999999</v>
      </c>
      <c r="G219">
        <v>85.524486800000005</v>
      </c>
      <c r="H219">
        <v>1</v>
      </c>
      <c r="I219" t="s">
        <v>14</v>
      </c>
      <c r="J219" t="s">
        <v>12</v>
      </c>
    </row>
    <row r="220" spans="1:10">
      <c r="A220">
        <v>479222</v>
      </c>
      <c r="B220" t="s">
        <v>32</v>
      </c>
      <c r="C220" t="s">
        <v>12</v>
      </c>
      <c r="D220" t="s">
        <v>20</v>
      </c>
      <c r="E220" t="s">
        <v>13</v>
      </c>
      <c r="F220">
        <v>19.678550000000001</v>
      </c>
      <c r="G220">
        <v>85.171408999999997</v>
      </c>
      <c r="H220">
        <v>1</v>
      </c>
      <c r="I220" t="s">
        <v>14</v>
      </c>
      <c r="J220" t="s">
        <v>12</v>
      </c>
    </row>
    <row r="221" spans="1:10">
      <c r="A221">
        <v>479221</v>
      </c>
      <c r="B221" t="s">
        <v>19</v>
      </c>
      <c r="C221" t="s">
        <v>12</v>
      </c>
      <c r="D221" t="s">
        <v>20</v>
      </c>
      <c r="E221" t="s">
        <v>13</v>
      </c>
      <c r="F221">
        <v>19.6782474</v>
      </c>
      <c r="G221">
        <v>85.1714786</v>
      </c>
      <c r="H221">
        <v>1</v>
      </c>
      <c r="I221" t="s">
        <v>14</v>
      </c>
      <c r="J221" t="s">
        <v>12</v>
      </c>
    </row>
    <row r="222" spans="1:10">
      <c r="A222">
        <v>479220</v>
      </c>
      <c r="B222" t="s">
        <v>34</v>
      </c>
      <c r="C222" t="s">
        <v>12</v>
      </c>
      <c r="D222" t="s">
        <v>20</v>
      </c>
      <c r="E222" t="s">
        <v>13</v>
      </c>
      <c r="F222">
        <v>19.633155500000001</v>
      </c>
      <c r="G222">
        <v>85.135326300000003</v>
      </c>
      <c r="H222">
        <v>1</v>
      </c>
      <c r="I222" t="s">
        <v>14</v>
      </c>
      <c r="J222" t="s">
        <v>12</v>
      </c>
    </row>
    <row r="223" spans="1:10">
      <c r="A223">
        <v>479219</v>
      </c>
      <c r="B223" t="s">
        <v>29</v>
      </c>
      <c r="C223" t="s">
        <v>12</v>
      </c>
      <c r="D223" t="s">
        <v>20</v>
      </c>
      <c r="E223" t="s">
        <v>13</v>
      </c>
      <c r="F223">
        <v>19.749316</v>
      </c>
      <c r="G223">
        <v>85.207598000000004</v>
      </c>
      <c r="H223">
        <v>2</v>
      </c>
      <c r="I223" t="s">
        <v>14</v>
      </c>
      <c r="J223" t="s">
        <v>12</v>
      </c>
    </row>
    <row r="224" spans="1:10">
      <c r="A224">
        <v>479218</v>
      </c>
      <c r="B224" t="s">
        <v>23</v>
      </c>
      <c r="C224" t="s">
        <v>12</v>
      </c>
      <c r="D224" t="s">
        <v>20</v>
      </c>
      <c r="E224" t="s">
        <v>13</v>
      </c>
      <c r="F224">
        <v>19.731375</v>
      </c>
      <c r="G224">
        <v>83.479140999999998</v>
      </c>
      <c r="H224">
        <v>1</v>
      </c>
      <c r="I224" t="s">
        <v>14</v>
      </c>
      <c r="J224" t="s">
        <v>12</v>
      </c>
    </row>
    <row r="225" spans="1:10">
      <c r="A225">
        <v>479217</v>
      </c>
      <c r="B225" t="s">
        <v>19</v>
      </c>
      <c r="C225" t="s">
        <v>12</v>
      </c>
      <c r="D225" t="s">
        <v>20</v>
      </c>
      <c r="E225" t="s">
        <v>13</v>
      </c>
      <c r="F225">
        <v>19.652453000000001</v>
      </c>
      <c r="G225">
        <v>82.225618999999995</v>
      </c>
      <c r="H225">
        <v>1</v>
      </c>
      <c r="I225" t="s">
        <v>14</v>
      </c>
      <c r="J225" t="s">
        <v>12</v>
      </c>
    </row>
    <row r="226" spans="1:10">
      <c r="A226">
        <v>479216</v>
      </c>
      <c r="B226" t="s">
        <v>24</v>
      </c>
      <c r="C226" t="s">
        <v>12</v>
      </c>
      <c r="D226" t="s">
        <v>20</v>
      </c>
      <c r="E226" t="s">
        <v>13</v>
      </c>
      <c r="F226">
        <v>19.311509999999998</v>
      </c>
      <c r="G226">
        <v>84.833539999999999</v>
      </c>
      <c r="H226">
        <v>1</v>
      </c>
      <c r="I226" t="s">
        <v>14</v>
      </c>
      <c r="J226" t="s">
        <v>12</v>
      </c>
    </row>
    <row r="227" spans="1:10">
      <c r="A227">
        <v>479215</v>
      </c>
      <c r="B227" t="s">
        <v>24</v>
      </c>
      <c r="C227" t="s">
        <v>12</v>
      </c>
      <c r="D227" t="s">
        <v>20</v>
      </c>
      <c r="E227" t="s">
        <v>13</v>
      </c>
      <c r="F227">
        <v>19.341229999999999</v>
      </c>
      <c r="G227">
        <v>84.768450000000001</v>
      </c>
      <c r="H227">
        <v>1</v>
      </c>
      <c r="I227" t="s">
        <v>14</v>
      </c>
      <c r="J227" t="s">
        <v>12</v>
      </c>
    </row>
    <row r="228" spans="1:10">
      <c r="A228">
        <v>479214</v>
      </c>
      <c r="B228" t="s">
        <v>24</v>
      </c>
      <c r="C228" t="s">
        <v>12</v>
      </c>
      <c r="D228" t="s">
        <v>20</v>
      </c>
      <c r="E228" t="s">
        <v>13</v>
      </c>
      <c r="F228">
        <v>19.324255000000001</v>
      </c>
      <c r="G228">
        <v>84.875029999999995</v>
      </c>
      <c r="H228">
        <v>1</v>
      </c>
      <c r="I228" t="s">
        <v>14</v>
      </c>
      <c r="J228" t="s">
        <v>12</v>
      </c>
    </row>
    <row r="229" spans="1:10">
      <c r="A229">
        <v>479213</v>
      </c>
      <c r="B229" t="s">
        <v>28</v>
      </c>
      <c r="C229" t="s">
        <v>12</v>
      </c>
      <c r="D229" t="s">
        <v>20</v>
      </c>
      <c r="E229" t="s">
        <v>13</v>
      </c>
      <c r="F229">
        <v>19.317171699999999</v>
      </c>
      <c r="G229">
        <v>84.777247399999993</v>
      </c>
      <c r="H229">
        <v>1</v>
      </c>
      <c r="I229" t="s">
        <v>14</v>
      </c>
      <c r="J229" t="s">
        <v>12</v>
      </c>
    </row>
    <row r="230" spans="1:10">
      <c r="A230">
        <v>479212</v>
      </c>
      <c r="B230" t="s">
        <v>28</v>
      </c>
      <c r="C230" t="s">
        <v>12</v>
      </c>
      <c r="D230" t="s">
        <v>20</v>
      </c>
      <c r="E230" t="s">
        <v>13</v>
      </c>
      <c r="F230">
        <v>19.307138599999998</v>
      </c>
      <c r="G230">
        <v>84.829227700000004</v>
      </c>
      <c r="H230">
        <v>1</v>
      </c>
      <c r="I230" t="s">
        <v>14</v>
      </c>
      <c r="J230" t="s">
        <v>12</v>
      </c>
    </row>
    <row r="231" spans="1:10">
      <c r="A231">
        <v>479211</v>
      </c>
      <c r="B231" t="s">
        <v>28</v>
      </c>
      <c r="C231" t="s">
        <v>12</v>
      </c>
      <c r="D231" t="s">
        <v>20</v>
      </c>
      <c r="E231" t="s">
        <v>13</v>
      </c>
      <c r="F231">
        <v>19.3194175</v>
      </c>
      <c r="G231">
        <v>84.784486299999998</v>
      </c>
      <c r="H231">
        <v>1</v>
      </c>
      <c r="I231" t="s">
        <v>14</v>
      </c>
      <c r="J231" t="s">
        <v>12</v>
      </c>
    </row>
    <row r="232" spans="1:10">
      <c r="A232">
        <v>479210</v>
      </c>
      <c r="B232" t="s">
        <v>24</v>
      </c>
      <c r="C232" t="s">
        <v>12</v>
      </c>
      <c r="D232" t="s">
        <v>20</v>
      </c>
      <c r="E232" t="s">
        <v>13</v>
      </c>
      <c r="F232">
        <v>19.308461999999999</v>
      </c>
      <c r="G232">
        <v>84.77319</v>
      </c>
      <c r="H232">
        <v>1</v>
      </c>
      <c r="I232" t="s">
        <v>14</v>
      </c>
      <c r="J232" t="s">
        <v>12</v>
      </c>
    </row>
    <row r="233" spans="1:10">
      <c r="A233">
        <v>479209</v>
      </c>
      <c r="B233" t="s">
        <v>24</v>
      </c>
      <c r="C233" t="s">
        <v>12</v>
      </c>
      <c r="D233" t="s">
        <v>20</v>
      </c>
      <c r="E233" t="s">
        <v>13</v>
      </c>
      <c r="F233">
        <v>19.301504000000001</v>
      </c>
      <c r="G233">
        <v>84.830129999999997</v>
      </c>
      <c r="H233">
        <v>1</v>
      </c>
      <c r="I233" t="s">
        <v>14</v>
      </c>
      <c r="J233" t="s">
        <v>12</v>
      </c>
    </row>
    <row r="234" spans="1:10">
      <c r="A234">
        <v>479208</v>
      </c>
      <c r="B234" t="s">
        <v>24</v>
      </c>
      <c r="C234" t="s">
        <v>12</v>
      </c>
      <c r="D234" t="s">
        <v>20</v>
      </c>
      <c r="E234" t="s">
        <v>13</v>
      </c>
      <c r="F234">
        <v>19.306038000000001</v>
      </c>
      <c r="G234">
        <v>84.781729999999996</v>
      </c>
      <c r="H234">
        <v>1</v>
      </c>
      <c r="I234" t="s">
        <v>41</v>
      </c>
      <c r="J234" t="s">
        <v>12</v>
      </c>
    </row>
    <row r="235" spans="1:10">
      <c r="A235">
        <v>479207</v>
      </c>
      <c r="B235" t="s">
        <v>19</v>
      </c>
      <c r="C235" t="s">
        <v>12</v>
      </c>
      <c r="D235" t="s">
        <v>20</v>
      </c>
      <c r="E235" t="s">
        <v>13</v>
      </c>
      <c r="F235">
        <v>19.315211000000001</v>
      </c>
      <c r="G235">
        <v>84.858143999999996</v>
      </c>
      <c r="H235">
        <v>2</v>
      </c>
      <c r="I235" t="s">
        <v>14</v>
      </c>
      <c r="J235" t="s">
        <v>12</v>
      </c>
    </row>
    <row r="236" spans="1:10">
      <c r="A236">
        <v>479206</v>
      </c>
      <c r="B236" t="s">
        <v>24</v>
      </c>
      <c r="C236" t="s">
        <v>12</v>
      </c>
      <c r="D236" t="s">
        <v>20</v>
      </c>
      <c r="E236" t="s">
        <v>13</v>
      </c>
      <c r="F236">
        <v>19.316079999999999</v>
      </c>
      <c r="G236">
        <v>84.852779999999996</v>
      </c>
      <c r="H236">
        <v>1</v>
      </c>
      <c r="I236" t="s">
        <v>14</v>
      </c>
      <c r="J236" t="s">
        <v>12</v>
      </c>
    </row>
    <row r="237" spans="1:10">
      <c r="A237">
        <v>479205</v>
      </c>
      <c r="B237" t="s">
        <v>24</v>
      </c>
      <c r="C237" t="s">
        <v>12</v>
      </c>
      <c r="D237" t="s">
        <v>20</v>
      </c>
      <c r="E237" t="s">
        <v>13</v>
      </c>
      <c r="F237">
        <v>19.30744</v>
      </c>
      <c r="G237">
        <v>84.816649999999996</v>
      </c>
      <c r="H237">
        <v>1</v>
      </c>
      <c r="I237" t="s">
        <v>14</v>
      </c>
      <c r="J237" t="s">
        <v>12</v>
      </c>
    </row>
    <row r="238" spans="1:10">
      <c r="A238">
        <v>479204</v>
      </c>
      <c r="B238" t="s">
        <v>28</v>
      </c>
      <c r="C238" t="s">
        <v>12</v>
      </c>
      <c r="D238" t="s">
        <v>20</v>
      </c>
      <c r="E238" t="s">
        <v>13</v>
      </c>
      <c r="F238">
        <v>19.317699699999999</v>
      </c>
      <c r="G238">
        <v>84.790583600000005</v>
      </c>
      <c r="H238">
        <v>1</v>
      </c>
      <c r="I238" t="s">
        <v>14</v>
      </c>
      <c r="J238" t="s">
        <v>12</v>
      </c>
    </row>
    <row r="239" spans="1:10">
      <c r="A239">
        <v>479203</v>
      </c>
      <c r="B239" t="s">
        <v>24</v>
      </c>
      <c r="C239" t="s">
        <v>12</v>
      </c>
      <c r="D239" t="s">
        <v>20</v>
      </c>
      <c r="E239" t="s">
        <v>13</v>
      </c>
      <c r="F239">
        <v>19.321629999999999</v>
      </c>
      <c r="G239">
        <v>84.867149999999995</v>
      </c>
      <c r="H239">
        <v>1</v>
      </c>
      <c r="I239" t="s">
        <v>14</v>
      </c>
      <c r="J239" t="s">
        <v>12</v>
      </c>
    </row>
    <row r="240" spans="1:10">
      <c r="A240">
        <v>479202</v>
      </c>
      <c r="B240" t="s">
        <v>24</v>
      </c>
      <c r="C240" t="s">
        <v>12</v>
      </c>
      <c r="D240" t="s">
        <v>20</v>
      </c>
      <c r="E240" t="s">
        <v>13</v>
      </c>
      <c r="F240">
        <v>19.319884999999999</v>
      </c>
      <c r="G240">
        <v>84.781130000000005</v>
      </c>
      <c r="H240">
        <v>1</v>
      </c>
      <c r="I240" t="s">
        <v>14</v>
      </c>
      <c r="J240" t="s">
        <v>12</v>
      </c>
    </row>
    <row r="241" spans="1:10">
      <c r="A241">
        <v>479201</v>
      </c>
      <c r="B241" t="s">
        <v>24</v>
      </c>
      <c r="C241" t="s">
        <v>12</v>
      </c>
      <c r="D241" t="s">
        <v>20</v>
      </c>
      <c r="E241" t="s">
        <v>13</v>
      </c>
      <c r="F241">
        <v>19.2956471</v>
      </c>
      <c r="G241">
        <v>84.819565800000007</v>
      </c>
      <c r="H241">
        <v>1</v>
      </c>
      <c r="I241" t="s">
        <v>14</v>
      </c>
      <c r="J241" t="s">
        <v>12</v>
      </c>
    </row>
    <row r="242" spans="1:10">
      <c r="A242">
        <v>479200</v>
      </c>
      <c r="B242" t="s">
        <v>29</v>
      </c>
      <c r="C242" t="s">
        <v>12</v>
      </c>
      <c r="D242" t="s">
        <v>20</v>
      </c>
      <c r="E242" t="s">
        <v>13</v>
      </c>
      <c r="F242">
        <v>19.334627000000001</v>
      </c>
      <c r="G242">
        <v>84.768619000000001</v>
      </c>
      <c r="H242">
        <v>1</v>
      </c>
      <c r="I242" t="s">
        <v>14</v>
      </c>
      <c r="J242" t="s">
        <v>12</v>
      </c>
    </row>
    <row r="243" spans="1:10">
      <c r="A243">
        <v>479199</v>
      </c>
      <c r="B243" t="s">
        <v>25</v>
      </c>
      <c r="C243" t="s">
        <v>12</v>
      </c>
      <c r="D243" t="s">
        <v>20</v>
      </c>
      <c r="E243" t="s">
        <v>13</v>
      </c>
      <c r="F243">
        <v>19.305727699999998</v>
      </c>
      <c r="G243">
        <v>84.781726800000001</v>
      </c>
      <c r="H243">
        <v>1</v>
      </c>
      <c r="I243" t="s">
        <v>41</v>
      </c>
      <c r="J243" t="s">
        <v>12</v>
      </c>
    </row>
    <row r="244" spans="1:10">
      <c r="A244">
        <v>479198</v>
      </c>
      <c r="B244" t="s">
        <v>24</v>
      </c>
      <c r="C244" t="s">
        <v>12</v>
      </c>
      <c r="D244" t="s">
        <v>20</v>
      </c>
      <c r="E244" t="s">
        <v>13</v>
      </c>
      <c r="F244">
        <v>19.303381000000002</v>
      </c>
      <c r="G244">
        <v>84.795044000000004</v>
      </c>
      <c r="H244">
        <v>1</v>
      </c>
      <c r="I244" t="s">
        <v>14</v>
      </c>
      <c r="J244" t="s">
        <v>12</v>
      </c>
    </row>
    <row r="245" spans="1:10">
      <c r="A245">
        <v>479197</v>
      </c>
      <c r="B245" t="s">
        <v>19</v>
      </c>
      <c r="C245" t="s">
        <v>12</v>
      </c>
      <c r="D245" t="s">
        <v>20</v>
      </c>
      <c r="E245" t="s">
        <v>13</v>
      </c>
      <c r="F245">
        <v>19.299171399999999</v>
      </c>
      <c r="G245">
        <v>84.831763100000003</v>
      </c>
      <c r="H245">
        <v>1</v>
      </c>
      <c r="I245" t="s">
        <v>14</v>
      </c>
      <c r="J245" t="s">
        <v>12</v>
      </c>
    </row>
    <row r="246" spans="1:10">
      <c r="A246">
        <v>479196</v>
      </c>
      <c r="B246" t="s">
        <v>56</v>
      </c>
      <c r="C246" t="s">
        <v>12</v>
      </c>
      <c r="D246" t="s">
        <v>20</v>
      </c>
      <c r="E246" t="s">
        <v>13</v>
      </c>
      <c r="F246">
        <v>19.447534999999998</v>
      </c>
      <c r="G246">
        <v>84.591458000000003</v>
      </c>
      <c r="H246">
        <v>1</v>
      </c>
      <c r="I246" t="s">
        <v>14</v>
      </c>
      <c r="J246" t="s">
        <v>12</v>
      </c>
    </row>
    <row r="247" spans="1:10">
      <c r="A247">
        <v>479195</v>
      </c>
      <c r="B247" t="s">
        <v>28</v>
      </c>
      <c r="C247" t="s">
        <v>12</v>
      </c>
      <c r="D247" t="s">
        <v>20</v>
      </c>
      <c r="E247" t="s">
        <v>13</v>
      </c>
      <c r="F247">
        <v>19.180776000000002</v>
      </c>
      <c r="G247">
        <v>84.725326999999993</v>
      </c>
      <c r="H247">
        <v>1</v>
      </c>
      <c r="I247" t="s">
        <v>14</v>
      </c>
      <c r="J247" t="s">
        <v>12</v>
      </c>
    </row>
    <row r="248" spans="1:10">
      <c r="A248">
        <v>479194</v>
      </c>
      <c r="B248" t="s">
        <v>24</v>
      </c>
      <c r="C248" t="s">
        <v>12</v>
      </c>
      <c r="D248" t="s">
        <v>20</v>
      </c>
      <c r="E248" t="s">
        <v>13</v>
      </c>
      <c r="F248">
        <v>19.268920000000001</v>
      </c>
      <c r="G248">
        <v>84.777450000000002</v>
      </c>
      <c r="H248">
        <v>1</v>
      </c>
      <c r="I248" t="s">
        <v>41</v>
      </c>
      <c r="J248" t="s">
        <v>12</v>
      </c>
    </row>
    <row r="249" spans="1:10">
      <c r="A249">
        <v>479193</v>
      </c>
      <c r="B249" t="s">
        <v>29</v>
      </c>
      <c r="C249" t="s">
        <v>12</v>
      </c>
      <c r="D249" t="s">
        <v>20</v>
      </c>
      <c r="E249" t="s">
        <v>13</v>
      </c>
      <c r="F249">
        <v>19.183323999999999</v>
      </c>
      <c r="G249">
        <v>84.727615999999998</v>
      </c>
      <c r="H249">
        <v>1</v>
      </c>
      <c r="I249" t="s">
        <v>14</v>
      </c>
      <c r="J249" t="s">
        <v>12</v>
      </c>
    </row>
    <row r="250" spans="1:10">
      <c r="A250">
        <v>479192</v>
      </c>
      <c r="B250" t="s">
        <v>24</v>
      </c>
      <c r="C250" t="s">
        <v>12</v>
      </c>
      <c r="D250" t="s">
        <v>20</v>
      </c>
      <c r="E250" t="s">
        <v>13</v>
      </c>
      <c r="F250">
        <v>19.194212</v>
      </c>
      <c r="G250">
        <v>84.617559999999997</v>
      </c>
      <c r="H250">
        <v>1</v>
      </c>
      <c r="I250" t="s">
        <v>14</v>
      </c>
      <c r="J250" t="s">
        <v>12</v>
      </c>
    </row>
    <row r="251" spans="1:10">
      <c r="A251">
        <v>479191</v>
      </c>
      <c r="B251" t="s">
        <v>24</v>
      </c>
      <c r="C251" t="s">
        <v>12</v>
      </c>
      <c r="D251" t="s">
        <v>20</v>
      </c>
      <c r="E251" t="s">
        <v>13</v>
      </c>
      <c r="F251">
        <v>18.845465000000001</v>
      </c>
      <c r="G251">
        <v>84.503100000000003</v>
      </c>
      <c r="H251">
        <v>1</v>
      </c>
      <c r="I251" t="s">
        <v>14</v>
      </c>
      <c r="J251" t="s">
        <v>12</v>
      </c>
    </row>
    <row r="252" spans="1:10">
      <c r="A252">
        <v>479190</v>
      </c>
      <c r="B252" t="s">
        <v>57</v>
      </c>
      <c r="C252" t="s">
        <v>12</v>
      </c>
      <c r="D252" t="s">
        <v>20</v>
      </c>
      <c r="E252" t="s">
        <v>13</v>
      </c>
      <c r="F252">
        <v>18.802062500000002</v>
      </c>
      <c r="G252">
        <v>83.991812499999995</v>
      </c>
      <c r="H252">
        <v>1</v>
      </c>
      <c r="I252" t="s">
        <v>14</v>
      </c>
      <c r="J252" t="s">
        <v>12</v>
      </c>
    </row>
    <row r="253" spans="1:10">
      <c r="A253">
        <v>479189</v>
      </c>
      <c r="B253" t="s">
        <v>28</v>
      </c>
      <c r="C253" t="s">
        <v>12</v>
      </c>
      <c r="D253" t="s">
        <v>20</v>
      </c>
      <c r="E253" t="s">
        <v>13</v>
      </c>
      <c r="F253">
        <v>18.768916699999998</v>
      </c>
      <c r="G253">
        <v>83.421538699999999</v>
      </c>
      <c r="H253">
        <v>1</v>
      </c>
      <c r="I253" t="s">
        <v>14</v>
      </c>
      <c r="J253" t="s">
        <v>12</v>
      </c>
    </row>
    <row r="254" spans="1:10">
      <c r="A254">
        <v>479188</v>
      </c>
      <c r="B254" t="s">
        <v>19</v>
      </c>
      <c r="C254" t="s">
        <v>12</v>
      </c>
      <c r="D254" t="s">
        <v>20</v>
      </c>
      <c r="E254" t="s">
        <v>13</v>
      </c>
      <c r="F254">
        <v>18.8582131</v>
      </c>
      <c r="G254">
        <v>82.589905099999996</v>
      </c>
      <c r="H254">
        <v>1</v>
      </c>
      <c r="I254" t="s">
        <v>14</v>
      </c>
      <c r="J254" t="s">
        <v>12</v>
      </c>
    </row>
    <row r="255" spans="1:10">
      <c r="A255">
        <v>479187</v>
      </c>
      <c r="B255" t="s">
        <v>29</v>
      </c>
      <c r="C255" t="s">
        <v>12</v>
      </c>
      <c r="D255" t="s">
        <v>20</v>
      </c>
      <c r="E255" t="s">
        <v>13</v>
      </c>
      <c r="F255">
        <v>18.84732</v>
      </c>
      <c r="G255">
        <v>82.565171000000007</v>
      </c>
      <c r="H255">
        <v>2</v>
      </c>
      <c r="I255" t="s">
        <v>14</v>
      </c>
      <c r="J255" t="s">
        <v>12</v>
      </c>
    </row>
    <row r="256" spans="1:10">
      <c r="A256">
        <v>479186</v>
      </c>
      <c r="B256" t="s">
        <v>24</v>
      </c>
      <c r="C256" t="s">
        <v>12</v>
      </c>
      <c r="D256" t="s">
        <v>20</v>
      </c>
      <c r="E256" t="s">
        <v>13</v>
      </c>
      <c r="F256">
        <v>18.606024000000001</v>
      </c>
      <c r="G256">
        <v>84.229915000000005</v>
      </c>
      <c r="H256">
        <v>1</v>
      </c>
      <c r="I256" t="s">
        <v>14</v>
      </c>
      <c r="J256" t="s">
        <v>12</v>
      </c>
    </row>
    <row r="257" spans="1:10">
      <c r="A257">
        <v>479185</v>
      </c>
      <c r="B257" t="s">
        <v>19</v>
      </c>
      <c r="C257" t="s">
        <v>12</v>
      </c>
      <c r="D257" t="s">
        <v>20</v>
      </c>
      <c r="E257" t="s">
        <v>13</v>
      </c>
      <c r="F257">
        <v>18.534752999999998</v>
      </c>
      <c r="G257">
        <v>83.651338999999993</v>
      </c>
      <c r="H257">
        <v>1</v>
      </c>
      <c r="I257" t="s">
        <v>14</v>
      </c>
      <c r="J257" t="s">
        <v>12</v>
      </c>
    </row>
    <row r="258" spans="1:10">
      <c r="A258">
        <v>479184</v>
      </c>
      <c r="B258" t="s">
        <v>58</v>
      </c>
      <c r="C258" t="s">
        <v>12</v>
      </c>
      <c r="D258" t="s">
        <v>20</v>
      </c>
      <c r="E258" t="s">
        <v>13</v>
      </c>
      <c r="F258">
        <v>18.597046500000001</v>
      </c>
      <c r="G258">
        <v>83.764094499999999</v>
      </c>
      <c r="H258">
        <v>1</v>
      </c>
      <c r="I258" t="s">
        <v>14</v>
      </c>
      <c r="J258" t="s">
        <v>12</v>
      </c>
    </row>
    <row r="259" spans="1:10">
      <c r="A259">
        <v>479183</v>
      </c>
      <c r="B259" t="s">
        <v>28</v>
      </c>
      <c r="C259" t="s">
        <v>12</v>
      </c>
      <c r="D259" t="s">
        <v>20</v>
      </c>
      <c r="E259" t="s">
        <v>13</v>
      </c>
      <c r="F259">
        <v>18.610439400000001</v>
      </c>
      <c r="G259">
        <v>83.399228500000007</v>
      </c>
      <c r="H259">
        <v>1</v>
      </c>
      <c r="I259" t="s">
        <v>14</v>
      </c>
      <c r="J259" t="s">
        <v>12</v>
      </c>
    </row>
    <row r="260" spans="1:10">
      <c r="A260">
        <v>479182</v>
      </c>
      <c r="B260" t="s">
        <v>19</v>
      </c>
      <c r="C260" t="s">
        <v>12</v>
      </c>
      <c r="D260" t="s">
        <v>20</v>
      </c>
      <c r="E260" t="s">
        <v>13</v>
      </c>
      <c r="F260">
        <v>18.503509300000001</v>
      </c>
      <c r="G260">
        <v>83.246970500000003</v>
      </c>
      <c r="H260">
        <v>1</v>
      </c>
      <c r="I260" t="s">
        <v>14</v>
      </c>
      <c r="J260" t="s">
        <v>12</v>
      </c>
    </row>
    <row r="261" spans="1:10">
      <c r="A261">
        <v>479181</v>
      </c>
      <c r="B261" t="s">
        <v>23</v>
      </c>
      <c r="C261" t="s">
        <v>12</v>
      </c>
      <c r="D261" t="s">
        <v>20</v>
      </c>
      <c r="E261" t="s">
        <v>13</v>
      </c>
      <c r="F261">
        <v>18.701207799999999</v>
      </c>
      <c r="G261">
        <v>82.879836999999995</v>
      </c>
      <c r="H261">
        <v>1</v>
      </c>
      <c r="I261" t="s">
        <v>14</v>
      </c>
      <c r="J261" t="s">
        <v>12</v>
      </c>
    </row>
    <row r="262" spans="1:10">
      <c r="A262">
        <v>479180</v>
      </c>
      <c r="B262" t="s">
        <v>24</v>
      </c>
      <c r="C262" t="s">
        <v>12</v>
      </c>
      <c r="D262" t="s">
        <v>20</v>
      </c>
      <c r="E262" t="s">
        <v>13</v>
      </c>
      <c r="F262">
        <v>18.295933000000002</v>
      </c>
      <c r="G262">
        <v>83.893147999999997</v>
      </c>
      <c r="H262">
        <v>1</v>
      </c>
      <c r="I262" t="s">
        <v>14</v>
      </c>
      <c r="J262" t="s">
        <v>12</v>
      </c>
    </row>
    <row r="263" spans="1:10">
      <c r="A263">
        <v>479179</v>
      </c>
      <c r="B263" t="s">
        <v>32</v>
      </c>
      <c r="C263" t="s">
        <v>12</v>
      </c>
      <c r="D263" t="s">
        <v>20</v>
      </c>
      <c r="E263" t="s">
        <v>13</v>
      </c>
      <c r="F263">
        <v>18.326279100000001</v>
      </c>
      <c r="G263">
        <v>83.941267999999994</v>
      </c>
      <c r="H263">
        <v>1</v>
      </c>
      <c r="I263" t="s">
        <v>14</v>
      </c>
      <c r="J263" t="s">
        <v>12</v>
      </c>
    </row>
    <row r="264" spans="1:10">
      <c r="A264">
        <v>479178</v>
      </c>
      <c r="B264" t="s">
        <v>19</v>
      </c>
      <c r="C264" t="s">
        <v>12</v>
      </c>
      <c r="D264" t="s">
        <v>20</v>
      </c>
      <c r="E264" t="s">
        <v>13</v>
      </c>
      <c r="F264">
        <v>18.324358799999999</v>
      </c>
      <c r="G264">
        <v>83.939110200000002</v>
      </c>
      <c r="H264">
        <v>1</v>
      </c>
      <c r="I264" t="s">
        <v>14</v>
      </c>
      <c r="J264" t="s">
        <v>12</v>
      </c>
    </row>
    <row r="265" spans="1:10">
      <c r="A265">
        <v>479177</v>
      </c>
      <c r="B265" t="s">
        <v>59</v>
      </c>
      <c r="C265" t="s">
        <v>12</v>
      </c>
      <c r="D265" t="s">
        <v>20</v>
      </c>
      <c r="E265" t="s">
        <v>13</v>
      </c>
      <c r="F265">
        <v>18.322673600000002</v>
      </c>
      <c r="G265">
        <v>83.893721999999997</v>
      </c>
      <c r="H265">
        <v>1</v>
      </c>
      <c r="I265" t="s">
        <v>14</v>
      </c>
      <c r="J265" t="s">
        <v>12</v>
      </c>
    </row>
    <row r="266" spans="1:10">
      <c r="A266">
        <v>479176</v>
      </c>
      <c r="B266" t="s">
        <v>60</v>
      </c>
      <c r="C266" t="s">
        <v>12</v>
      </c>
      <c r="D266" t="s">
        <v>20</v>
      </c>
      <c r="E266" t="s">
        <v>13</v>
      </c>
      <c r="F266">
        <v>18.424328500000001</v>
      </c>
      <c r="G266">
        <v>84.048024600000005</v>
      </c>
      <c r="H266">
        <v>1</v>
      </c>
      <c r="I266" t="s">
        <v>14</v>
      </c>
      <c r="J266" t="s">
        <v>12</v>
      </c>
    </row>
    <row r="267" spans="1:10">
      <c r="A267">
        <v>479175</v>
      </c>
      <c r="B267" t="s">
        <v>61</v>
      </c>
      <c r="C267" t="s">
        <v>12</v>
      </c>
      <c r="D267" t="s">
        <v>20</v>
      </c>
      <c r="E267" t="s">
        <v>13</v>
      </c>
      <c r="F267">
        <v>18.309546000000001</v>
      </c>
      <c r="G267">
        <v>83.918819999999997</v>
      </c>
      <c r="H267">
        <v>1</v>
      </c>
      <c r="I267" t="s">
        <v>14</v>
      </c>
      <c r="J267" t="s">
        <v>12</v>
      </c>
    </row>
    <row r="268" spans="1:10">
      <c r="A268">
        <v>479174</v>
      </c>
      <c r="B268" t="s">
        <v>62</v>
      </c>
      <c r="C268" t="s">
        <v>12</v>
      </c>
      <c r="D268" t="s">
        <v>20</v>
      </c>
      <c r="E268" t="s">
        <v>13</v>
      </c>
      <c r="F268">
        <v>18.300440800000001</v>
      </c>
      <c r="G268">
        <v>83.871162799999993</v>
      </c>
      <c r="H268">
        <v>1</v>
      </c>
      <c r="I268" t="s">
        <v>14</v>
      </c>
      <c r="J268" t="s">
        <v>12</v>
      </c>
    </row>
    <row r="269" spans="1:10">
      <c r="A269">
        <v>479173</v>
      </c>
      <c r="B269" t="s">
        <v>23</v>
      </c>
      <c r="C269" t="s">
        <v>12</v>
      </c>
      <c r="D269" t="s">
        <v>20</v>
      </c>
      <c r="E269" t="s">
        <v>13</v>
      </c>
      <c r="F269">
        <v>18.289377999999999</v>
      </c>
      <c r="G269">
        <v>83.914593999999994</v>
      </c>
      <c r="H269">
        <v>1</v>
      </c>
      <c r="I269" t="s">
        <v>14</v>
      </c>
      <c r="J269" t="s">
        <v>12</v>
      </c>
    </row>
    <row r="270" spans="1:10">
      <c r="A270">
        <v>479172</v>
      </c>
      <c r="B270" t="s">
        <v>24</v>
      </c>
      <c r="C270" t="s">
        <v>12</v>
      </c>
      <c r="D270" t="s">
        <v>20</v>
      </c>
      <c r="E270" t="s">
        <v>13</v>
      </c>
      <c r="F270">
        <v>18.279175599999999</v>
      </c>
      <c r="G270">
        <v>83.526138599999996</v>
      </c>
      <c r="H270">
        <v>1</v>
      </c>
      <c r="I270" t="s">
        <v>14</v>
      </c>
      <c r="J270" t="s">
        <v>12</v>
      </c>
    </row>
    <row r="271" spans="1:10">
      <c r="A271">
        <v>479171</v>
      </c>
      <c r="B271" t="s">
        <v>63</v>
      </c>
      <c r="C271" t="s">
        <v>12</v>
      </c>
      <c r="D271" t="s">
        <v>20</v>
      </c>
      <c r="E271" t="s">
        <v>13</v>
      </c>
      <c r="F271">
        <v>18.337203800000001</v>
      </c>
      <c r="G271">
        <v>82.877925500000003</v>
      </c>
      <c r="H271">
        <v>1</v>
      </c>
      <c r="I271" t="s">
        <v>14</v>
      </c>
      <c r="J271" t="s">
        <v>12</v>
      </c>
    </row>
    <row r="272" spans="1:10">
      <c r="A272">
        <v>479170</v>
      </c>
      <c r="B272" t="s">
        <v>24</v>
      </c>
      <c r="C272" t="s">
        <v>12</v>
      </c>
      <c r="D272" t="s">
        <v>20</v>
      </c>
      <c r="E272" t="s">
        <v>13</v>
      </c>
      <c r="F272">
        <v>18.3225938</v>
      </c>
      <c r="G272">
        <v>82.877651799999995</v>
      </c>
      <c r="H272">
        <v>1</v>
      </c>
      <c r="I272" t="s">
        <v>14</v>
      </c>
      <c r="J272" t="s">
        <v>12</v>
      </c>
    </row>
    <row r="273" spans="1:10">
      <c r="A273">
        <v>479169</v>
      </c>
      <c r="B273" t="s">
        <v>64</v>
      </c>
      <c r="C273" t="s">
        <v>12</v>
      </c>
      <c r="D273" t="s">
        <v>20</v>
      </c>
      <c r="E273" t="s">
        <v>13</v>
      </c>
      <c r="F273">
        <v>18.295865200000001</v>
      </c>
      <c r="G273">
        <v>82.914474799999994</v>
      </c>
      <c r="H273">
        <v>1</v>
      </c>
      <c r="I273" t="s">
        <v>14</v>
      </c>
      <c r="J273" t="s">
        <v>12</v>
      </c>
    </row>
    <row r="274" spans="1:10">
      <c r="A274">
        <v>479168</v>
      </c>
      <c r="B274" t="s">
        <v>28</v>
      </c>
      <c r="C274" t="s">
        <v>12</v>
      </c>
      <c r="D274" t="s">
        <v>20</v>
      </c>
      <c r="E274" t="s">
        <v>13</v>
      </c>
      <c r="F274">
        <v>18.313714099999999</v>
      </c>
      <c r="G274">
        <v>82.893742399999994</v>
      </c>
      <c r="H274">
        <v>1</v>
      </c>
      <c r="I274" t="s">
        <v>14</v>
      </c>
      <c r="J274" t="s">
        <v>12</v>
      </c>
    </row>
    <row r="275" spans="1:10">
      <c r="A275">
        <v>479167</v>
      </c>
      <c r="B275" t="s">
        <v>19</v>
      </c>
      <c r="C275" t="s">
        <v>12</v>
      </c>
      <c r="D275" t="s">
        <v>20</v>
      </c>
      <c r="E275" t="s">
        <v>13</v>
      </c>
      <c r="F275">
        <v>18.139519</v>
      </c>
      <c r="G275">
        <v>83.617594999999994</v>
      </c>
      <c r="H275">
        <v>1</v>
      </c>
      <c r="I275" t="s">
        <v>14</v>
      </c>
      <c r="J275" t="s">
        <v>12</v>
      </c>
    </row>
    <row r="276" spans="1:10">
      <c r="A276">
        <v>479166</v>
      </c>
      <c r="B276" t="s">
        <v>32</v>
      </c>
      <c r="C276" t="s">
        <v>12</v>
      </c>
      <c r="D276" t="s">
        <v>20</v>
      </c>
      <c r="E276" t="s">
        <v>13</v>
      </c>
      <c r="F276">
        <v>18.1499177</v>
      </c>
      <c r="G276">
        <v>83.635310599999997</v>
      </c>
      <c r="H276">
        <v>1</v>
      </c>
      <c r="I276" t="s">
        <v>14</v>
      </c>
      <c r="J276" t="s">
        <v>12</v>
      </c>
    </row>
    <row r="277" spans="1:10">
      <c r="A277">
        <v>479165</v>
      </c>
      <c r="B277" t="s">
        <v>19</v>
      </c>
      <c r="C277" t="s">
        <v>12</v>
      </c>
      <c r="D277" t="s">
        <v>20</v>
      </c>
      <c r="E277" t="s">
        <v>13</v>
      </c>
      <c r="F277">
        <v>18.173031999999999</v>
      </c>
      <c r="G277">
        <v>83.676948999999993</v>
      </c>
      <c r="H277">
        <v>1</v>
      </c>
      <c r="I277" t="s">
        <v>14</v>
      </c>
      <c r="J277" t="s">
        <v>12</v>
      </c>
    </row>
    <row r="278" spans="1:10">
      <c r="A278">
        <v>479164</v>
      </c>
      <c r="B278" t="s">
        <v>65</v>
      </c>
      <c r="C278" t="s">
        <v>12</v>
      </c>
      <c r="D278" t="s">
        <v>20</v>
      </c>
      <c r="E278" t="s">
        <v>13</v>
      </c>
      <c r="F278">
        <v>18.0418515</v>
      </c>
      <c r="G278">
        <v>83.509722100000005</v>
      </c>
      <c r="H278">
        <v>1</v>
      </c>
      <c r="I278" t="s">
        <v>14</v>
      </c>
      <c r="J278" t="s">
        <v>12</v>
      </c>
    </row>
    <row r="279" spans="1:10">
      <c r="A279">
        <v>479163</v>
      </c>
      <c r="B279" t="s">
        <v>66</v>
      </c>
      <c r="C279" t="s">
        <v>12</v>
      </c>
      <c r="D279" t="s">
        <v>20</v>
      </c>
      <c r="E279" t="s">
        <v>13</v>
      </c>
      <c r="F279">
        <v>18.020385699999999</v>
      </c>
      <c r="G279">
        <v>83.4020948</v>
      </c>
      <c r="H279">
        <v>1</v>
      </c>
      <c r="I279" t="s">
        <v>14</v>
      </c>
      <c r="J279" t="s">
        <v>12</v>
      </c>
    </row>
    <row r="280" spans="1:10">
      <c r="A280">
        <v>479162</v>
      </c>
      <c r="B280" t="s">
        <v>24</v>
      </c>
      <c r="C280" t="s">
        <v>12</v>
      </c>
      <c r="D280" t="s">
        <v>20</v>
      </c>
      <c r="E280" t="s">
        <v>13</v>
      </c>
      <c r="F280">
        <v>18.056500700000001</v>
      </c>
      <c r="G280">
        <v>83.397112800000002</v>
      </c>
      <c r="H280">
        <v>1</v>
      </c>
      <c r="I280" t="s">
        <v>14</v>
      </c>
      <c r="J280" t="s">
        <v>12</v>
      </c>
    </row>
    <row r="281" spans="1:10">
      <c r="A281">
        <v>479161</v>
      </c>
      <c r="B281" t="s">
        <v>28</v>
      </c>
      <c r="C281" t="s">
        <v>12</v>
      </c>
      <c r="D281" t="s">
        <v>20</v>
      </c>
      <c r="E281" t="s">
        <v>13</v>
      </c>
      <c r="F281">
        <v>18.057097200000001</v>
      </c>
      <c r="G281">
        <v>83.397188099999994</v>
      </c>
      <c r="H281">
        <v>1</v>
      </c>
      <c r="I281" t="s">
        <v>14</v>
      </c>
      <c r="J281" t="s">
        <v>12</v>
      </c>
    </row>
    <row r="282" spans="1:10">
      <c r="A282">
        <v>479160</v>
      </c>
      <c r="B282" t="s">
        <v>67</v>
      </c>
      <c r="C282" t="s">
        <v>12</v>
      </c>
      <c r="D282" t="s">
        <v>20</v>
      </c>
      <c r="E282" t="s">
        <v>13</v>
      </c>
      <c r="F282">
        <v>18.092801600000001</v>
      </c>
      <c r="G282">
        <v>83.388404699999995</v>
      </c>
      <c r="H282">
        <v>1</v>
      </c>
      <c r="I282" t="s">
        <v>14</v>
      </c>
      <c r="J282" t="s">
        <v>12</v>
      </c>
    </row>
    <row r="283" spans="1:10">
      <c r="A283">
        <v>479159</v>
      </c>
      <c r="B283" t="s">
        <v>24</v>
      </c>
      <c r="C283" t="s">
        <v>12</v>
      </c>
      <c r="D283" t="s">
        <v>20</v>
      </c>
      <c r="E283" t="s">
        <v>13</v>
      </c>
      <c r="F283">
        <v>18.080786</v>
      </c>
      <c r="G283">
        <v>83.385279999999995</v>
      </c>
      <c r="H283">
        <v>1</v>
      </c>
      <c r="I283" t="s">
        <v>14</v>
      </c>
      <c r="J283" t="s">
        <v>12</v>
      </c>
    </row>
    <row r="284" spans="1:10">
      <c r="A284">
        <v>479158</v>
      </c>
      <c r="B284" t="s">
        <v>21</v>
      </c>
      <c r="C284" t="s">
        <v>12</v>
      </c>
      <c r="D284" t="s">
        <v>20</v>
      </c>
      <c r="E284" t="s">
        <v>13</v>
      </c>
      <c r="F284">
        <v>17.9524227</v>
      </c>
      <c r="G284">
        <v>83.416358099999997</v>
      </c>
      <c r="H284">
        <v>1</v>
      </c>
      <c r="I284" t="s">
        <v>14</v>
      </c>
      <c r="J284" t="s">
        <v>12</v>
      </c>
    </row>
    <row r="285" spans="1:10">
      <c r="A285">
        <v>479157</v>
      </c>
      <c r="B285" t="s">
        <v>24</v>
      </c>
      <c r="C285" t="s">
        <v>12</v>
      </c>
      <c r="D285" t="s">
        <v>20</v>
      </c>
      <c r="E285" t="s">
        <v>13</v>
      </c>
      <c r="F285">
        <v>18.080143799999998</v>
      </c>
      <c r="G285">
        <v>83.385350900000006</v>
      </c>
      <c r="H285">
        <v>1</v>
      </c>
      <c r="I285" t="s">
        <v>14</v>
      </c>
      <c r="J285" t="s">
        <v>12</v>
      </c>
    </row>
    <row r="286" spans="1:10">
      <c r="A286">
        <v>479156</v>
      </c>
      <c r="B286" t="s">
        <v>22</v>
      </c>
      <c r="C286" t="s">
        <v>12</v>
      </c>
      <c r="D286" t="s">
        <v>20</v>
      </c>
      <c r="E286" t="s">
        <v>13</v>
      </c>
      <c r="F286">
        <v>17.952421000000001</v>
      </c>
      <c r="G286">
        <v>83.416310999999993</v>
      </c>
      <c r="H286">
        <v>1</v>
      </c>
      <c r="I286" t="s">
        <v>14</v>
      </c>
      <c r="J286" t="s">
        <v>12</v>
      </c>
    </row>
    <row r="287" spans="1:10">
      <c r="A287">
        <v>479155</v>
      </c>
      <c r="B287" t="s">
        <v>19</v>
      </c>
      <c r="C287" t="s">
        <v>12</v>
      </c>
      <c r="D287" t="s">
        <v>20</v>
      </c>
      <c r="E287" t="s">
        <v>13</v>
      </c>
      <c r="F287">
        <v>17.957767700000002</v>
      </c>
      <c r="G287">
        <v>83.177360399999998</v>
      </c>
      <c r="H287">
        <v>1</v>
      </c>
      <c r="I287" t="s">
        <v>14</v>
      </c>
      <c r="J287" t="s">
        <v>12</v>
      </c>
    </row>
    <row r="288" spans="1:10">
      <c r="A288">
        <v>479154</v>
      </c>
      <c r="B288" t="s">
        <v>24</v>
      </c>
      <c r="C288" t="s">
        <v>12</v>
      </c>
      <c r="D288" t="s">
        <v>20</v>
      </c>
      <c r="E288" t="s">
        <v>13</v>
      </c>
      <c r="F288">
        <v>18.116682000000001</v>
      </c>
      <c r="G288">
        <v>83.137720000000002</v>
      </c>
      <c r="H288">
        <v>1</v>
      </c>
      <c r="I288" t="s">
        <v>14</v>
      </c>
      <c r="J288" t="s">
        <v>12</v>
      </c>
    </row>
    <row r="289" spans="1:10">
      <c r="A289">
        <v>479153</v>
      </c>
      <c r="B289" t="s">
        <v>19</v>
      </c>
      <c r="C289" t="s">
        <v>12</v>
      </c>
      <c r="D289" t="s">
        <v>20</v>
      </c>
      <c r="E289" t="s">
        <v>13</v>
      </c>
      <c r="F289">
        <v>17.957767700000002</v>
      </c>
      <c r="G289">
        <v>83.177360399999998</v>
      </c>
      <c r="H289">
        <v>1</v>
      </c>
      <c r="I289" t="s">
        <v>14</v>
      </c>
      <c r="J289" t="s">
        <v>12</v>
      </c>
    </row>
    <row r="290" spans="1:10">
      <c r="A290">
        <v>479152</v>
      </c>
      <c r="B290" t="s">
        <v>24</v>
      </c>
      <c r="C290" t="s">
        <v>12</v>
      </c>
      <c r="D290" t="s">
        <v>20</v>
      </c>
      <c r="E290" t="s">
        <v>13</v>
      </c>
      <c r="F290">
        <v>18.116682000000001</v>
      </c>
      <c r="G290">
        <v>83.137720000000002</v>
      </c>
      <c r="H290">
        <v>1</v>
      </c>
      <c r="I290" t="s">
        <v>14</v>
      </c>
      <c r="J290" t="s">
        <v>12</v>
      </c>
    </row>
    <row r="291" spans="1:10">
      <c r="A291">
        <v>479145</v>
      </c>
      <c r="B291" t="s">
        <v>29</v>
      </c>
      <c r="C291" t="s">
        <v>12</v>
      </c>
      <c r="D291" t="s">
        <v>20</v>
      </c>
      <c r="E291" t="s">
        <v>13</v>
      </c>
      <c r="F291">
        <v>19.995597</v>
      </c>
      <c r="G291">
        <v>85.479968</v>
      </c>
      <c r="H291">
        <v>1</v>
      </c>
      <c r="I291" t="s">
        <v>14</v>
      </c>
      <c r="J291" t="s">
        <v>12</v>
      </c>
    </row>
    <row r="292" spans="1:10">
      <c r="A292">
        <v>479144</v>
      </c>
      <c r="B292" t="s">
        <v>22</v>
      </c>
      <c r="C292" t="s">
        <v>12</v>
      </c>
      <c r="D292" t="s">
        <v>20</v>
      </c>
      <c r="E292" t="s">
        <v>13</v>
      </c>
      <c r="F292">
        <v>19.990167199999998</v>
      </c>
      <c r="G292">
        <v>85.473652700000002</v>
      </c>
      <c r="H292">
        <v>1</v>
      </c>
      <c r="I292" t="s">
        <v>14</v>
      </c>
      <c r="J292" t="s">
        <v>12</v>
      </c>
    </row>
    <row r="293" spans="1:10">
      <c r="A293">
        <v>479143</v>
      </c>
      <c r="B293" t="s">
        <v>24</v>
      </c>
      <c r="C293" t="s">
        <v>12</v>
      </c>
      <c r="D293" t="s">
        <v>20</v>
      </c>
      <c r="E293" t="s">
        <v>13</v>
      </c>
      <c r="F293">
        <v>19.924364000000001</v>
      </c>
      <c r="G293">
        <v>84.571349999999995</v>
      </c>
      <c r="H293">
        <v>1</v>
      </c>
      <c r="I293" t="s">
        <v>14</v>
      </c>
      <c r="J293" t="s">
        <v>12</v>
      </c>
    </row>
    <row r="294" spans="1:10">
      <c r="A294">
        <v>479142</v>
      </c>
      <c r="B294" t="s">
        <v>23</v>
      </c>
      <c r="C294" t="s">
        <v>12</v>
      </c>
      <c r="D294" t="s">
        <v>20</v>
      </c>
      <c r="E294" t="s">
        <v>13</v>
      </c>
      <c r="F294">
        <v>20.038906999999998</v>
      </c>
      <c r="G294">
        <v>84.638569000000004</v>
      </c>
      <c r="H294">
        <v>1</v>
      </c>
      <c r="I294" t="s">
        <v>14</v>
      </c>
      <c r="J294" t="s">
        <v>12</v>
      </c>
    </row>
    <row r="295" spans="1:10">
      <c r="A295">
        <v>479141</v>
      </c>
      <c r="B295" t="s">
        <v>19</v>
      </c>
      <c r="C295" t="s">
        <v>12</v>
      </c>
      <c r="D295" t="s">
        <v>20</v>
      </c>
      <c r="E295" t="s">
        <v>13</v>
      </c>
      <c r="F295">
        <v>19.924914999999999</v>
      </c>
      <c r="G295">
        <v>83.174075000000002</v>
      </c>
      <c r="H295">
        <v>1</v>
      </c>
      <c r="I295" t="s">
        <v>14</v>
      </c>
      <c r="J295" t="s">
        <v>12</v>
      </c>
    </row>
    <row r="296" spans="1:10">
      <c r="A296">
        <v>479140</v>
      </c>
      <c r="B296" t="s">
        <v>28</v>
      </c>
      <c r="C296" t="s">
        <v>12</v>
      </c>
      <c r="D296" t="s">
        <v>20</v>
      </c>
      <c r="E296" t="s">
        <v>13</v>
      </c>
      <c r="F296">
        <v>20.088792399999999</v>
      </c>
      <c r="G296">
        <v>82.362104900000006</v>
      </c>
      <c r="H296">
        <v>11</v>
      </c>
      <c r="I296" t="s">
        <v>14</v>
      </c>
      <c r="J296" t="s">
        <v>12</v>
      </c>
    </row>
    <row r="297" spans="1:10">
      <c r="A297">
        <v>479139</v>
      </c>
      <c r="B297" t="s">
        <v>53</v>
      </c>
      <c r="C297" t="s">
        <v>12</v>
      </c>
      <c r="D297" t="s">
        <v>20</v>
      </c>
      <c r="E297" t="s">
        <v>13</v>
      </c>
      <c r="F297">
        <v>19.813480800000001</v>
      </c>
      <c r="G297">
        <v>85.836299699999998</v>
      </c>
      <c r="H297">
        <v>1</v>
      </c>
      <c r="I297" t="s">
        <v>14</v>
      </c>
      <c r="J297" t="s">
        <v>12</v>
      </c>
    </row>
    <row r="298" spans="1:10">
      <c r="A298">
        <v>479138</v>
      </c>
      <c r="B298" t="s">
        <v>24</v>
      </c>
      <c r="C298" t="s">
        <v>12</v>
      </c>
      <c r="D298" t="s">
        <v>20</v>
      </c>
      <c r="E298" t="s">
        <v>13</v>
      </c>
      <c r="F298">
        <v>19.7952607</v>
      </c>
      <c r="G298">
        <v>85.813280899999995</v>
      </c>
      <c r="H298">
        <v>1</v>
      </c>
      <c r="I298" t="s">
        <v>14</v>
      </c>
      <c r="J298" t="s">
        <v>12</v>
      </c>
    </row>
    <row r="299" spans="1:10">
      <c r="A299">
        <v>479137</v>
      </c>
      <c r="B299" t="s">
        <v>54</v>
      </c>
      <c r="C299" t="s">
        <v>12</v>
      </c>
      <c r="D299" t="s">
        <v>20</v>
      </c>
      <c r="E299" t="s">
        <v>13</v>
      </c>
      <c r="F299">
        <v>19.802419700000002</v>
      </c>
      <c r="G299">
        <v>85.823939899999999</v>
      </c>
      <c r="H299">
        <v>1</v>
      </c>
      <c r="I299" t="s">
        <v>14</v>
      </c>
      <c r="J299" t="s">
        <v>12</v>
      </c>
    </row>
    <row r="300" spans="1:10">
      <c r="A300">
        <v>479136</v>
      </c>
      <c r="B300" t="s">
        <v>55</v>
      </c>
      <c r="C300" t="s">
        <v>12</v>
      </c>
      <c r="D300" t="s">
        <v>20</v>
      </c>
      <c r="E300" t="s">
        <v>13</v>
      </c>
      <c r="F300">
        <v>19.790746200000001</v>
      </c>
      <c r="G300">
        <v>85.803086800000003</v>
      </c>
      <c r="H300">
        <v>1</v>
      </c>
      <c r="I300" t="s">
        <v>14</v>
      </c>
      <c r="J300" t="s">
        <v>12</v>
      </c>
    </row>
    <row r="301" spans="1:10">
      <c r="A301">
        <v>479135</v>
      </c>
      <c r="B301" t="s">
        <v>28</v>
      </c>
      <c r="C301" t="s">
        <v>12</v>
      </c>
      <c r="D301" t="s">
        <v>20</v>
      </c>
      <c r="E301" t="s">
        <v>13</v>
      </c>
      <c r="F301">
        <v>19.718938000000001</v>
      </c>
      <c r="G301">
        <v>85.5235713</v>
      </c>
      <c r="H301">
        <v>1</v>
      </c>
      <c r="I301" t="s">
        <v>14</v>
      </c>
      <c r="J301" t="s">
        <v>12</v>
      </c>
    </row>
    <row r="302" spans="1:10">
      <c r="A302">
        <v>479134</v>
      </c>
      <c r="B302" t="s">
        <v>24</v>
      </c>
      <c r="C302" t="s">
        <v>12</v>
      </c>
      <c r="D302" t="s">
        <v>20</v>
      </c>
      <c r="E302" t="s">
        <v>13</v>
      </c>
      <c r="F302">
        <v>19.799157999999998</v>
      </c>
      <c r="G302">
        <v>85.664565999999994</v>
      </c>
      <c r="H302">
        <v>1</v>
      </c>
      <c r="I302" t="s">
        <v>14</v>
      </c>
      <c r="J302" t="s">
        <v>12</v>
      </c>
    </row>
    <row r="303" spans="1:10">
      <c r="A303">
        <v>479133</v>
      </c>
      <c r="B303" t="s">
        <v>24</v>
      </c>
      <c r="C303" t="s">
        <v>12</v>
      </c>
      <c r="D303" t="s">
        <v>20</v>
      </c>
      <c r="E303" t="s">
        <v>13</v>
      </c>
      <c r="F303">
        <v>19.719349999999999</v>
      </c>
      <c r="G303">
        <v>85.524486800000005</v>
      </c>
      <c r="H303">
        <v>1</v>
      </c>
      <c r="I303" t="s">
        <v>14</v>
      </c>
      <c r="J303" t="s">
        <v>12</v>
      </c>
    </row>
    <row r="304" spans="1:10">
      <c r="A304">
        <v>479132</v>
      </c>
      <c r="B304" t="s">
        <v>32</v>
      </c>
      <c r="C304" t="s">
        <v>12</v>
      </c>
      <c r="D304" t="s">
        <v>20</v>
      </c>
      <c r="E304" t="s">
        <v>13</v>
      </c>
      <c r="F304">
        <v>19.678550000000001</v>
      </c>
      <c r="G304">
        <v>85.171408999999997</v>
      </c>
      <c r="H304">
        <v>1</v>
      </c>
      <c r="I304" t="s">
        <v>14</v>
      </c>
      <c r="J304" t="s">
        <v>12</v>
      </c>
    </row>
    <row r="305" spans="1:10">
      <c r="A305">
        <v>479131</v>
      </c>
      <c r="B305" t="s">
        <v>19</v>
      </c>
      <c r="C305" t="s">
        <v>12</v>
      </c>
      <c r="D305" t="s">
        <v>20</v>
      </c>
      <c r="E305" t="s">
        <v>13</v>
      </c>
      <c r="F305">
        <v>19.6782474</v>
      </c>
      <c r="G305">
        <v>85.1714786</v>
      </c>
      <c r="H305">
        <v>1</v>
      </c>
      <c r="I305" t="s">
        <v>14</v>
      </c>
      <c r="J305" t="s">
        <v>12</v>
      </c>
    </row>
    <row r="306" spans="1:10">
      <c r="A306">
        <v>479130</v>
      </c>
      <c r="B306" t="s">
        <v>34</v>
      </c>
      <c r="C306" t="s">
        <v>12</v>
      </c>
      <c r="D306" t="s">
        <v>20</v>
      </c>
      <c r="E306" t="s">
        <v>13</v>
      </c>
      <c r="F306">
        <v>19.633155500000001</v>
      </c>
      <c r="G306">
        <v>85.135326300000003</v>
      </c>
      <c r="H306">
        <v>1</v>
      </c>
      <c r="I306" t="s">
        <v>14</v>
      </c>
      <c r="J306" t="s">
        <v>12</v>
      </c>
    </row>
    <row r="307" spans="1:10">
      <c r="A307">
        <v>479129</v>
      </c>
      <c r="B307" t="s">
        <v>29</v>
      </c>
      <c r="C307" t="s">
        <v>12</v>
      </c>
      <c r="D307" t="s">
        <v>20</v>
      </c>
      <c r="E307" t="s">
        <v>13</v>
      </c>
      <c r="F307">
        <v>19.749316</v>
      </c>
      <c r="G307">
        <v>85.207598000000004</v>
      </c>
      <c r="H307">
        <v>2</v>
      </c>
      <c r="I307" t="s">
        <v>14</v>
      </c>
      <c r="J307" t="s">
        <v>12</v>
      </c>
    </row>
    <row r="308" spans="1:10">
      <c r="A308">
        <v>479128</v>
      </c>
      <c r="B308" t="s">
        <v>23</v>
      </c>
      <c r="C308" t="s">
        <v>12</v>
      </c>
      <c r="D308" t="s">
        <v>20</v>
      </c>
      <c r="E308" t="s">
        <v>13</v>
      </c>
      <c r="F308">
        <v>19.731375</v>
      </c>
      <c r="G308">
        <v>83.479140999999998</v>
      </c>
      <c r="H308">
        <v>1</v>
      </c>
      <c r="I308" t="s">
        <v>14</v>
      </c>
      <c r="J308" t="s">
        <v>12</v>
      </c>
    </row>
    <row r="309" spans="1:10">
      <c r="A309">
        <v>479127</v>
      </c>
      <c r="B309" t="s">
        <v>19</v>
      </c>
      <c r="C309" t="s">
        <v>12</v>
      </c>
      <c r="D309" t="s">
        <v>20</v>
      </c>
      <c r="E309" t="s">
        <v>13</v>
      </c>
      <c r="F309">
        <v>19.652453000000001</v>
      </c>
      <c r="G309">
        <v>82.225618999999995</v>
      </c>
      <c r="H309">
        <v>1</v>
      </c>
      <c r="I309" t="s">
        <v>14</v>
      </c>
      <c r="J309" t="s">
        <v>12</v>
      </c>
    </row>
    <row r="310" spans="1:10">
      <c r="A310">
        <v>479126</v>
      </c>
      <c r="B310" t="s">
        <v>24</v>
      </c>
      <c r="C310" t="s">
        <v>12</v>
      </c>
      <c r="D310" t="s">
        <v>20</v>
      </c>
      <c r="E310" t="s">
        <v>13</v>
      </c>
      <c r="F310">
        <v>19.311509999999998</v>
      </c>
      <c r="G310">
        <v>84.833539999999999</v>
      </c>
      <c r="H310">
        <v>1</v>
      </c>
      <c r="I310" t="s">
        <v>14</v>
      </c>
      <c r="J310" t="s">
        <v>12</v>
      </c>
    </row>
    <row r="311" spans="1:10">
      <c r="A311">
        <v>479125</v>
      </c>
      <c r="B311" t="s">
        <v>24</v>
      </c>
      <c r="C311" t="s">
        <v>12</v>
      </c>
      <c r="D311" t="s">
        <v>20</v>
      </c>
      <c r="E311" t="s">
        <v>13</v>
      </c>
      <c r="F311">
        <v>19.341229999999999</v>
      </c>
      <c r="G311">
        <v>84.768450000000001</v>
      </c>
      <c r="H311">
        <v>1</v>
      </c>
      <c r="I311" t="s">
        <v>14</v>
      </c>
      <c r="J311" t="s">
        <v>12</v>
      </c>
    </row>
    <row r="312" spans="1:10">
      <c r="A312">
        <v>479124</v>
      </c>
      <c r="B312" t="s">
        <v>24</v>
      </c>
      <c r="C312" t="s">
        <v>12</v>
      </c>
      <c r="D312" t="s">
        <v>20</v>
      </c>
      <c r="E312" t="s">
        <v>13</v>
      </c>
      <c r="F312">
        <v>19.324255000000001</v>
      </c>
      <c r="G312">
        <v>84.875029999999995</v>
      </c>
      <c r="H312">
        <v>1</v>
      </c>
      <c r="I312" t="s">
        <v>14</v>
      </c>
      <c r="J312" t="s">
        <v>12</v>
      </c>
    </row>
    <row r="313" spans="1:10">
      <c r="A313">
        <v>479123</v>
      </c>
      <c r="B313" t="s">
        <v>28</v>
      </c>
      <c r="C313" t="s">
        <v>12</v>
      </c>
      <c r="D313" t="s">
        <v>20</v>
      </c>
      <c r="E313" t="s">
        <v>13</v>
      </c>
      <c r="F313">
        <v>19.317171699999999</v>
      </c>
      <c r="G313">
        <v>84.777247399999993</v>
      </c>
      <c r="H313">
        <v>1</v>
      </c>
      <c r="I313" t="s">
        <v>14</v>
      </c>
      <c r="J313" t="s">
        <v>12</v>
      </c>
    </row>
    <row r="314" spans="1:10">
      <c r="A314">
        <v>479122</v>
      </c>
      <c r="B314" t="s">
        <v>28</v>
      </c>
      <c r="C314" t="s">
        <v>12</v>
      </c>
      <c r="D314" t="s">
        <v>20</v>
      </c>
      <c r="E314" t="s">
        <v>13</v>
      </c>
      <c r="F314">
        <v>19.307138599999998</v>
      </c>
      <c r="G314">
        <v>84.829227700000004</v>
      </c>
      <c r="H314">
        <v>1</v>
      </c>
      <c r="I314" t="s">
        <v>14</v>
      </c>
      <c r="J314" t="s">
        <v>12</v>
      </c>
    </row>
    <row r="315" spans="1:10">
      <c r="A315">
        <v>479121</v>
      </c>
      <c r="B315" t="s">
        <v>28</v>
      </c>
      <c r="C315" t="s">
        <v>12</v>
      </c>
      <c r="D315" t="s">
        <v>20</v>
      </c>
      <c r="E315" t="s">
        <v>13</v>
      </c>
      <c r="F315">
        <v>19.3194175</v>
      </c>
      <c r="G315">
        <v>84.784486299999998</v>
      </c>
      <c r="H315">
        <v>1</v>
      </c>
      <c r="I315" t="s">
        <v>14</v>
      </c>
      <c r="J315" t="s">
        <v>12</v>
      </c>
    </row>
    <row r="316" spans="1:10">
      <c r="A316">
        <v>479120</v>
      </c>
      <c r="B316" t="s">
        <v>24</v>
      </c>
      <c r="C316" t="s">
        <v>12</v>
      </c>
      <c r="D316" t="s">
        <v>20</v>
      </c>
      <c r="E316" t="s">
        <v>13</v>
      </c>
      <c r="F316">
        <v>19.308461999999999</v>
      </c>
      <c r="G316">
        <v>84.77319</v>
      </c>
      <c r="H316">
        <v>1</v>
      </c>
      <c r="I316" t="s">
        <v>14</v>
      </c>
      <c r="J316" t="s">
        <v>12</v>
      </c>
    </row>
    <row r="317" spans="1:10">
      <c r="A317">
        <v>479119</v>
      </c>
      <c r="B317" t="s">
        <v>24</v>
      </c>
      <c r="C317" t="s">
        <v>12</v>
      </c>
      <c r="D317" t="s">
        <v>20</v>
      </c>
      <c r="E317" t="s">
        <v>13</v>
      </c>
      <c r="F317">
        <v>19.301504000000001</v>
      </c>
      <c r="G317">
        <v>84.830129999999997</v>
      </c>
      <c r="H317">
        <v>1</v>
      </c>
      <c r="I317" t="s">
        <v>14</v>
      </c>
      <c r="J317" t="s">
        <v>12</v>
      </c>
    </row>
    <row r="318" spans="1:10">
      <c r="A318">
        <v>479118</v>
      </c>
      <c r="B318" t="s">
        <v>24</v>
      </c>
      <c r="C318" t="s">
        <v>12</v>
      </c>
      <c r="D318" t="s">
        <v>20</v>
      </c>
      <c r="E318" t="s">
        <v>13</v>
      </c>
      <c r="F318">
        <v>19.306038000000001</v>
      </c>
      <c r="G318">
        <v>84.781729999999996</v>
      </c>
      <c r="H318">
        <v>1</v>
      </c>
      <c r="I318" t="s">
        <v>41</v>
      </c>
      <c r="J318" t="s">
        <v>12</v>
      </c>
    </row>
    <row r="319" spans="1:10">
      <c r="A319">
        <v>479117</v>
      </c>
      <c r="B319" t="s">
        <v>19</v>
      </c>
      <c r="C319" t="s">
        <v>12</v>
      </c>
      <c r="D319" t="s">
        <v>20</v>
      </c>
      <c r="E319" t="s">
        <v>13</v>
      </c>
      <c r="F319">
        <v>19.315211000000001</v>
      </c>
      <c r="G319">
        <v>84.858143999999996</v>
      </c>
      <c r="H319">
        <v>2</v>
      </c>
      <c r="I319" t="s">
        <v>14</v>
      </c>
      <c r="J319" t="s">
        <v>12</v>
      </c>
    </row>
    <row r="320" spans="1:10">
      <c r="A320">
        <v>479116</v>
      </c>
      <c r="B320" t="s">
        <v>24</v>
      </c>
      <c r="C320" t="s">
        <v>12</v>
      </c>
      <c r="D320" t="s">
        <v>20</v>
      </c>
      <c r="E320" t="s">
        <v>13</v>
      </c>
      <c r="F320">
        <v>19.316079999999999</v>
      </c>
      <c r="G320">
        <v>84.852779999999996</v>
      </c>
      <c r="H320">
        <v>1</v>
      </c>
      <c r="I320" t="s">
        <v>14</v>
      </c>
      <c r="J320" t="s">
        <v>12</v>
      </c>
    </row>
    <row r="321" spans="1:10">
      <c r="A321">
        <v>479115</v>
      </c>
      <c r="B321" t="s">
        <v>24</v>
      </c>
      <c r="C321" t="s">
        <v>12</v>
      </c>
      <c r="D321" t="s">
        <v>20</v>
      </c>
      <c r="E321" t="s">
        <v>13</v>
      </c>
      <c r="F321">
        <v>19.30744</v>
      </c>
      <c r="G321">
        <v>84.816649999999996</v>
      </c>
      <c r="H321">
        <v>1</v>
      </c>
      <c r="I321" t="s">
        <v>14</v>
      </c>
      <c r="J321" t="s">
        <v>12</v>
      </c>
    </row>
    <row r="322" spans="1:10">
      <c r="A322">
        <v>479114</v>
      </c>
      <c r="B322" t="s">
        <v>28</v>
      </c>
      <c r="C322" t="s">
        <v>12</v>
      </c>
      <c r="D322" t="s">
        <v>20</v>
      </c>
      <c r="E322" t="s">
        <v>13</v>
      </c>
      <c r="F322">
        <v>19.317699699999999</v>
      </c>
      <c r="G322">
        <v>84.790583600000005</v>
      </c>
      <c r="H322">
        <v>1</v>
      </c>
      <c r="I322" t="s">
        <v>14</v>
      </c>
      <c r="J322" t="s">
        <v>12</v>
      </c>
    </row>
    <row r="323" spans="1:10">
      <c r="A323">
        <v>479113</v>
      </c>
      <c r="B323" t="s">
        <v>24</v>
      </c>
      <c r="C323" t="s">
        <v>12</v>
      </c>
      <c r="D323" t="s">
        <v>20</v>
      </c>
      <c r="E323" t="s">
        <v>13</v>
      </c>
      <c r="F323">
        <v>19.321629999999999</v>
      </c>
      <c r="G323">
        <v>84.867149999999995</v>
      </c>
      <c r="H323">
        <v>1</v>
      </c>
      <c r="I323" t="s">
        <v>14</v>
      </c>
      <c r="J323" t="s">
        <v>12</v>
      </c>
    </row>
    <row r="324" spans="1:10">
      <c r="A324">
        <v>479112</v>
      </c>
      <c r="B324" t="s">
        <v>24</v>
      </c>
      <c r="C324" t="s">
        <v>12</v>
      </c>
      <c r="D324" t="s">
        <v>20</v>
      </c>
      <c r="E324" t="s">
        <v>13</v>
      </c>
      <c r="F324">
        <v>19.319884999999999</v>
      </c>
      <c r="G324">
        <v>84.781130000000005</v>
      </c>
      <c r="H324">
        <v>1</v>
      </c>
      <c r="I324" t="s">
        <v>14</v>
      </c>
      <c r="J324" t="s">
        <v>12</v>
      </c>
    </row>
    <row r="325" spans="1:10">
      <c r="A325">
        <v>479111</v>
      </c>
      <c r="B325" t="s">
        <v>24</v>
      </c>
      <c r="C325" t="s">
        <v>12</v>
      </c>
      <c r="D325" t="s">
        <v>20</v>
      </c>
      <c r="E325" t="s">
        <v>13</v>
      </c>
      <c r="F325">
        <v>19.2956471</v>
      </c>
      <c r="G325">
        <v>84.819565800000007</v>
      </c>
      <c r="H325">
        <v>1</v>
      </c>
      <c r="I325" t="s">
        <v>14</v>
      </c>
      <c r="J325" t="s">
        <v>12</v>
      </c>
    </row>
    <row r="326" spans="1:10">
      <c r="A326">
        <v>479110</v>
      </c>
      <c r="B326" t="s">
        <v>29</v>
      </c>
      <c r="C326" t="s">
        <v>12</v>
      </c>
      <c r="D326" t="s">
        <v>20</v>
      </c>
      <c r="E326" t="s">
        <v>13</v>
      </c>
      <c r="F326">
        <v>19.334627000000001</v>
      </c>
      <c r="G326">
        <v>84.768619000000001</v>
      </c>
      <c r="H326">
        <v>1</v>
      </c>
      <c r="I326" t="s">
        <v>14</v>
      </c>
      <c r="J326" t="s">
        <v>12</v>
      </c>
    </row>
    <row r="327" spans="1:10">
      <c r="A327">
        <v>479109</v>
      </c>
      <c r="B327" t="s">
        <v>25</v>
      </c>
      <c r="C327" t="s">
        <v>12</v>
      </c>
      <c r="D327" t="s">
        <v>20</v>
      </c>
      <c r="E327" t="s">
        <v>13</v>
      </c>
      <c r="F327">
        <v>19.305727699999998</v>
      </c>
      <c r="G327">
        <v>84.781726800000001</v>
      </c>
      <c r="H327">
        <v>1</v>
      </c>
      <c r="I327" t="s">
        <v>41</v>
      </c>
      <c r="J327" t="s">
        <v>12</v>
      </c>
    </row>
    <row r="328" spans="1:10">
      <c r="A328">
        <v>479108</v>
      </c>
      <c r="B328" t="s">
        <v>24</v>
      </c>
      <c r="C328" t="s">
        <v>12</v>
      </c>
      <c r="D328" t="s">
        <v>20</v>
      </c>
      <c r="E328" t="s">
        <v>13</v>
      </c>
      <c r="F328">
        <v>19.303381000000002</v>
      </c>
      <c r="G328">
        <v>84.795044000000004</v>
      </c>
      <c r="H328">
        <v>1</v>
      </c>
      <c r="I328" t="s">
        <v>14</v>
      </c>
      <c r="J328" t="s">
        <v>12</v>
      </c>
    </row>
    <row r="329" spans="1:10">
      <c r="A329">
        <v>479107</v>
      </c>
      <c r="B329" t="s">
        <v>19</v>
      </c>
      <c r="C329" t="s">
        <v>12</v>
      </c>
      <c r="D329" t="s">
        <v>20</v>
      </c>
      <c r="E329" t="s">
        <v>13</v>
      </c>
      <c r="F329">
        <v>19.299171399999999</v>
      </c>
      <c r="G329">
        <v>84.831763100000003</v>
      </c>
      <c r="H329">
        <v>1</v>
      </c>
      <c r="I329" t="s">
        <v>14</v>
      </c>
      <c r="J329" t="s">
        <v>12</v>
      </c>
    </row>
    <row r="330" spans="1:10">
      <c r="A330">
        <v>479106</v>
      </c>
      <c r="B330" t="s">
        <v>56</v>
      </c>
      <c r="C330" t="s">
        <v>12</v>
      </c>
      <c r="D330" t="s">
        <v>20</v>
      </c>
      <c r="E330" t="s">
        <v>13</v>
      </c>
      <c r="F330">
        <v>19.447534999999998</v>
      </c>
      <c r="G330">
        <v>84.591458000000003</v>
      </c>
      <c r="H330">
        <v>1</v>
      </c>
      <c r="I330" t="s">
        <v>14</v>
      </c>
      <c r="J330" t="s">
        <v>12</v>
      </c>
    </row>
    <row r="331" spans="1:10">
      <c r="A331">
        <v>479105</v>
      </c>
      <c r="B331" t="s">
        <v>28</v>
      </c>
      <c r="C331" t="s">
        <v>12</v>
      </c>
      <c r="D331" t="s">
        <v>20</v>
      </c>
      <c r="E331" t="s">
        <v>13</v>
      </c>
      <c r="F331">
        <v>19.180776000000002</v>
      </c>
      <c r="G331">
        <v>84.725326999999993</v>
      </c>
      <c r="H331">
        <v>1</v>
      </c>
      <c r="I331" t="s">
        <v>14</v>
      </c>
      <c r="J331" t="s">
        <v>12</v>
      </c>
    </row>
    <row r="332" spans="1:10">
      <c r="A332">
        <v>479104</v>
      </c>
      <c r="B332" t="s">
        <v>24</v>
      </c>
      <c r="C332" t="s">
        <v>12</v>
      </c>
      <c r="D332" t="s">
        <v>20</v>
      </c>
      <c r="E332" t="s">
        <v>13</v>
      </c>
      <c r="F332">
        <v>19.268920000000001</v>
      </c>
      <c r="G332">
        <v>84.777450000000002</v>
      </c>
      <c r="H332">
        <v>1</v>
      </c>
      <c r="I332" t="s">
        <v>41</v>
      </c>
      <c r="J332" t="s">
        <v>12</v>
      </c>
    </row>
    <row r="333" spans="1:10">
      <c r="A333">
        <v>479103</v>
      </c>
      <c r="B333" t="s">
        <v>29</v>
      </c>
      <c r="C333" t="s">
        <v>12</v>
      </c>
      <c r="D333" t="s">
        <v>20</v>
      </c>
      <c r="E333" t="s">
        <v>13</v>
      </c>
      <c r="F333">
        <v>19.183323999999999</v>
      </c>
      <c r="G333">
        <v>84.727615999999998</v>
      </c>
      <c r="H333">
        <v>1</v>
      </c>
      <c r="I333" t="s">
        <v>14</v>
      </c>
      <c r="J333" t="s">
        <v>12</v>
      </c>
    </row>
    <row r="334" spans="1:10">
      <c r="A334">
        <v>479102</v>
      </c>
      <c r="B334" t="s">
        <v>24</v>
      </c>
      <c r="C334" t="s">
        <v>12</v>
      </c>
      <c r="D334" t="s">
        <v>20</v>
      </c>
      <c r="E334" t="s">
        <v>13</v>
      </c>
      <c r="F334">
        <v>19.194212</v>
      </c>
      <c r="G334">
        <v>84.617559999999997</v>
      </c>
      <c r="H334">
        <v>1</v>
      </c>
      <c r="I334" t="s">
        <v>14</v>
      </c>
      <c r="J334" t="s">
        <v>12</v>
      </c>
    </row>
    <row r="335" spans="1:10">
      <c r="A335">
        <v>479101</v>
      </c>
      <c r="B335" t="s">
        <v>24</v>
      </c>
      <c r="C335" t="s">
        <v>12</v>
      </c>
      <c r="D335" t="s">
        <v>20</v>
      </c>
      <c r="E335" t="s">
        <v>13</v>
      </c>
      <c r="F335">
        <v>18.845465000000001</v>
      </c>
      <c r="G335">
        <v>84.503100000000003</v>
      </c>
      <c r="H335">
        <v>1</v>
      </c>
      <c r="I335" t="s">
        <v>14</v>
      </c>
      <c r="J335" t="s">
        <v>12</v>
      </c>
    </row>
    <row r="336" spans="1:10">
      <c r="A336">
        <v>479100</v>
      </c>
      <c r="B336" t="s">
        <v>57</v>
      </c>
      <c r="C336" t="s">
        <v>12</v>
      </c>
      <c r="D336" t="s">
        <v>20</v>
      </c>
      <c r="E336" t="s">
        <v>13</v>
      </c>
      <c r="F336">
        <v>18.802062500000002</v>
      </c>
      <c r="G336">
        <v>83.991812499999995</v>
      </c>
      <c r="H336">
        <v>1</v>
      </c>
      <c r="I336" t="s">
        <v>14</v>
      </c>
      <c r="J336" t="s">
        <v>12</v>
      </c>
    </row>
    <row r="337" spans="1:10">
      <c r="A337">
        <v>479099</v>
      </c>
      <c r="B337" t="s">
        <v>28</v>
      </c>
      <c r="C337" t="s">
        <v>12</v>
      </c>
      <c r="D337" t="s">
        <v>20</v>
      </c>
      <c r="E337" t="s">
        <v>13</v>
      </c>
      <c r="F337">
        <v>18.768916699999998</v>
      </c>
      <c r="G337">
        <v>83.421538699999999</v>
      </c>
      <c r="H337">
        <v>1</v>
      </c>
      <c r="I337" t="s">
        <v>14</v>
      </c>
      <c r="J337" t="s">
        <v>12</v>
      </c>
    </row>
    <row r="338" spans="1:10">
      <c r="A338">
        <v>479098</v>
      </c>
      <c r="B338" t="s">
        <v>19</v>
      </c>
      <c r="C338" t="s">
        <v>12</v>
      </c>
      <c r="D338" t="s">
        <v>20</v>
      </c>
      <c r="E338" t="s">
        <v>13</v>
      </c>
      <c r="F338">
        <v>18.8582131</v>
      </c>
      <c r="G338">
        <v>82.589905099999996</v>
      </c>
      <c r="H338">
        <v>1</v>
      </c>
      <c r="I338" t="s">
        <v>14</v>
      </c>
      <c r="J338" t="s">
        <v>12</v>
      </c>
    </row>
    <row r="339" spans="1:10">
      <c r="A339">
        <v>479097</v>
      </c>
      <c r="B339" t="s">
        <v>29</v>
      </c>
      <c r="C339" t="s">
        <v>12</v>
      </c>
      <c r="D339" t="s">
        <v>20</v>
      </c>
      <c r="E339" t="s">
        <v>13</v>
      </c>
      <c r="F339">
        <v>18.84732</v>
      </c>
      <c r="G339">
        <v>82.565171000000007</v>
      </c>
      <c r="H339">
        <v>2</v>
      </c>
      <c r="I339" t="s">
        <v>14</v>
      </c>
      <c r="J339" t="s">
        <v>12</v>
      </c>
    </row>
    <row r="340" spans="1:10">
      <c r="A340">
        <v>479096</v>
      </c>
      <c r="B340" t="s">
        <v>24</v>
      </c>
      <c r="C340" t="s">
        <v>12</v>
      </c>
      <c r="D340" t="s">
        <v>20</v>
      </c>
      <c r="E340" t="s">
        <v>13</v>
      </c>
      <c r="F340">
        <v>18.606024000000001</v>
      </c>
      <c r="G340">
        <v>84.229915000000005</v>
      </c>
      <c r="H340">
        <v>1</v>
      </c>
      <c r="I340" t="s">
        <v>14</v>
      </c>
      <c r="J340" t="s">
        <v>12</v>
      </c>
    </row>
    <row r="341" spans="1:10">
      <c r="A341">
        <v>479095</v>
      </c>
      <c r="B341" t="s">
        <v>19</v>
      </c>
      <c r="C341" t="s">
        <v>12</v>
      </c>
      <c r="D341" t="s">
        <v>20</v>
      </c>
      <c r="E341" t="s">
        <v>13</v>
      </c>
      <c r="F341">
        <v>18.534752999999998</v>
      </c>
      <c r="G341">
        <v>83.651338999999993</v>
      </c>
      <c r="H341">
        <v>1</v>
      </c>
      <c r="I341" t="s">
        <v>14</v>
      </c>
      <c r="J341" t="s">
        <v>12</v>
      </c>
    </row>
    <row r="342" spans="1:10">
      <c r="A342">
        <v>479094</v>
      </c>
      <c r="B342" t="s">
        <v>58</v>
      </c>
      <c r="C342" t="s">
        <v>12</v>
      </c>
      <c r="D342" t="s">
        <v>20</v>
      </c>
      <c r="E342" t="s">
        <v>13</v>
      </c>
      <c r="F342">
        <v>18.597046500000001</v>
      </c>
      <c r="G342">
        <v>83.764094499999999</v>
      </c>
      <c r="H342">
        <v>1</v>
      </c>
      <c r="I342" t="s">
        <v>14</v>
      </c>
      <c r="J342" t="s">
        <v>12</v>
      </c>
    </row>
    <row r="343" spans="1:10">
      <c r="A343">
        <v>479093</v>
      </c>
      <c r="B343" t="s">
        <v>28</v>
      </c>
      <c r="C343" t="s">
        <v>12</v>
      </c>
      <c r="D343" t="s">
        <v>20</v>
      </c>
      <c r="E343" t="s">
        <v>13</v>
      </c>
      <c r="F343">
        <v>18.610439400000001</v>
      </c>
      <c r="G343">
        <v>83.399228500000007</v>
      </c>
      <c r="H343">
        <v>1</v>
      </c>
      <c r="I343" t="s">
        <v>14</v>
      </c>
      <c r="J343" t="s">
        <v>12</v>
      </c>
    </row>
    <row r="344" spans="1:10">
      <c r="A344">
        <v>479092</v>
      </c>
      <c r="B344" t="s">
        <v>19</v>
      </c>
      <c r="C344" t="s">
        <v>12</v>
      </c>
      <c r="D344" t="s">
        <v>20</v>
      </c>
      <c r="E344" t="s">
        <v>13</v>
      </c>
      <c r="F344">
        <v>18.503509300000001</v>
      </c>
      <c r="G344">
        <v>83.246970500000003</v>
      </c>
      <c r="H344">
        <v>1</v>
      </c>
      <c r="I344" t="s">
        <v>14</v>
      </c>
      <c r="J344" t="s">
        <v>12</v>
      </c>
    </row>
    <row r="345" spans="1:10">
      <c r="A345">
        <v>479091</v>
      </c>
      <c r="B345" t="s">
        <v>23</v>
      </c>
      <c r="C345" t="s">
        <v>12</v>
      </c>
      <c r="D345" t="s">
        <v>20</v>
      </c>
      <c r="E345" t="s">
        <v>13</v>
      </c>
      <c r="F345">
        <v>18.701207799999999</v>
      </c>
      <c r="G345">
        <v>82.879836999999995</v>
      </c>
      <c r="H345">
        <v>1</v>
      </c>
      <c r="I345" t="s">
        <v>14</v>
      </c>
      <c r="J345" t="s">
        <v>12</v>
      </c>
    </row>
    <row r="346" spans="1:10">
      <c r="A346">
        <v>479090</v>
      </c>
      <c r="B346" t="s">
        <v>24</v>
      </c>
      <c r="C346" t="s">
        <v>12</v>
      </c>
      <c r="D346" t="s">
        <v>20</v>
      </c>
      <c r="E346" t="s">
        <v>13</v>
      </c>
      <c r="F346">
        <v>18.295933000000002</v>
      </c>
      <c r="G346">
        <v>83.893147999999997</v>
      </c>
      <c r="H346">
        <v>1</v>
      </c>
      <c r="I346" t="s">
        <v>14</v>
      </c>
      <c r="J346" t="s">
        <v>12</v>
      </c>
    </row>
    <row r="347" spans="1:10">
      <c r="A347">
        <v>479089</v>
      </c>
      <c r="B347" t="s">
        <v>32</v>
      </c>
      <c r="C347" t="s">
        <v>12</v>
      </c>
      <c r="D347" t="s">
        <v>20</v>
      </c>
      <c r="E347" t="s">
        <v>13</v>
      </c>
      <c r="F347">
        <v>18.326279100000001</v>
      </c>
      <c r="G347">
        <v>83.941267999999994</v>
      </c>
      <c r="H347">
        <v>1</v>
      </c>
      <c r="I347" t="s">
        <v>14</v>
      </c>
      <c r="J347" t="s">
        <v>12</v>
      </c>
    </row>
    <row r="348" spans="1:10">
      <c r="A348">
        <v>479088</v>
      </c>
      <c r="B348" t="s">
        <v>19</v>
      </c>
      <c r="C348" t="s">
        <v>12</v>
      </c>
      <c r="D348" t="s">
        <v>20</v>
      </c>
      <c r="E348" t="s">
        <v>13</v>
      </c>
      <c r="F348">
        <v>18.324358799999999</v>
      </c>
      <c r="G348">
        <v>83.939110200000002</v>
      </c>
      <c r="H348">
        <v>1</v>
      </c>
      <c r="I348" t="s">
        <v>14</v>
      </c>
      <c r="J348" t="s">
        <v>12</v>
      </c>
    </row>
    <row r="349" spans="1:10">
      <c r="A349">
        <v>479086</v>
      </c>
      <c r="B349" t="s">
        <v>59</v>
      </c>
      <c r="C349" t="s">
        <v>12</v>
      </c>
      <c r="D349" t="s">
        <v>20</v>
      </c>
      <c r="E349" t="s">
        <v>13</v>
      </c>
      <c r="F349">
        <v>18.322673600000002</v>
      </c>
      <c r="G349">
        <v>83.893721999999997</v>
      </c>
      <c r="H349">
        <v>1</v>
      </c>
      <c r="I349" t="s">
        <v>14</v>
      </c>
      <c r="J349" t="s">
        <v>12</v>
      </c>
    </row>
    <row r="350" spans="1:10">
      <c r="A350">
        <v>479085</v>
      </c>
      <c r="B350" t="s">
        <v>60</v>
      </c>
      <c r="C350" t="s">
        <v>12</v>
      </c>
      <c r="D350" t="s">
        <v>20</v>
      </c>
      <c r="E350" t="s">
        <v>13</v>
      </c>
      <c r="F350">
        <v>18.424328500000001</v>
      </c>
      <c r="G350">
        <v>84.048024600000005</v>
      </c>
      <c r="H350">
        <v>1</v>
      </c>
      <c r="I350" t="s">
        <v>14</v>
      </c>
      <c r="J350" t="s">
        <v>12</v>
      </c>
    </row>
    <row r="351" spans="1:10">
      <c r="A351">
        <v>479084</v>
      </c>
      <c r="B351" t="s">
        <v>61</v>
      </c>
      <c r="C351" t="s">
        <v>12</v>
      </c>
      <c r="D351" t="s">
        <v>20</v>
      </c>
      <c r="E351" t="s">
        <v>13</v>
      </c>
      <c r="F351">
        <v>18.309546000000001</v>
      </c>
      <c r="G351">
        <v>83.918819999999997</v>
      </c>
      <c r="H351">
        <v>1</v>
      </c>
      <c r="I351" t="s">
        <v>14</v>
      </c>
      <c r="J351" t="s">
        <v>12</v>
      </c>
    </row>
    <row r="352" spans="1:10">
      <c r="A352">
        <v>479083</v>
      </c>
      <c r="B352" t="s">
        <v>62</v>
      </c>
      <c r="C352" t="s">
        <v>12</v>
      </c>
      <c r="D352" t="s">
        <v>20</v>
      </c>
      <c r="E352" t="s">
        <v>13</v>
      </c>
      <c r="F352">
        <v>18.300440800000001</v>
      </c>
      <c r="G352">
        <v>83.871162799999993</v>
      </c>
      <c r="H352">
        <v>1</v>
      </c>
      <c r="I352" t="s">
        <v>14</v>
      </c>
      <c r="J352" t="s">
        <v>12</v>
      </c>
    </row>
    <row r="353" spans="1:10">
      <c r="A353">
        <v>479082</v>
      </c>
      <c r="B353" t="s">
        <v>23</v>
      </c>
      <c r="C353" t="s">
        <v>12</v>
      </c>
      <c r="D353" t="s">
        <v>20</v>
      </c>
      <c r="E353" t="s">
        <v>13</v>
      </c>
      <c r="F353">
        <v>18.289377999999999</v>
      </c>
      <c r="G353">
        <v>83.914593999999994</v>
      </c>
      <c r="H353">
        <v>1</v>
      </c>
      <c r="I353" t="s">
        <v>14</v>
      </c>
      <c r="J353" t="s">
        <v>12</v>
      </c>
    </row>
    <row r="354" spans="1:10">
      <c r="A354">
        <v>479081</v>
      </c>
      <c r="B354" t="s">
        <v>24</v>
      </c>
      <c r="C354" t="s">
        <v>12</v>
      </c>
      <c r="D354" t="s">
        <v>20</v>
      </c>
      <c r="E354" t="s">
        <v>13</v>
      </c>
      <c r="F354">
        <v>18.279175599999999</v>
      </c>
      <c r="G354">
        <v>83.526138599999996</v>
      </c>
      <c r="H354">
        <v>1</v>
      </c>
      <c r="I354" t="s">
        <v>14</v>
      </c>
      <c r="J354" t="s">
        <v>12</v>
      </c>
    </row>
    <row r="355" spans="1:10">
      <c r="A355">
        <v>479080</v>
      </c>
      <c r="B355" t="s">
        <v>63</v>
      </c>
      <c r="C355" t="s">
        <v>12</v>
      </c>
      <c r="D355" t="s">
        <v>20</v>
      </c>
      <c r="E355" t="s">
        <v>13</v>
      </c>
      <c r="F355">
        <v>18.337203800000001</v>
      </c>
      <c r="G355">
        <v>82.877925500000003</v>
      </c>
      <c r="H355">
        <v>1</v>
      </c>
      <c r="I355" t="s">
        <v>14</v>
      </c>
      <c r="J355" t="s">
        <v>12</v>
      </c>
    </row>
    <row r="356" spans="1:10">
      <c r="A356">
        <v>479079</v>
      </c>
      <c r="B356" t="s">
        <v>24</v>
      </c>
      <c r="C356" t="s">
        <v>12</v>
      </c>
      <c r="D356" t="s">
        <v>20</v>
      </c>
      <c r="E356" t="s">
        <v>13</v>
      </c>
      <c r="F356">
        <v>18.3225938</v>
      </c>
      <c r="G356">
        <v>82.877651799999995</v>
      </c>
      <c r="H356">
        <v>1</v>
      </c>
      <c r="I356" t="s">
        <v>14</v>
      </c>
      <c r="J356" t="s">
        <v>12</v>
      </c>
    </row>
    <row r="357" spans="1:10">
      <c r="A357">
        <v>479078</v>
      </c>
      <c r="B357" t="s">
        <v>64</v>
      </c>
      <c r="C357" t="s">
        <v>12</v>
      </c>
      <c r="D357" t="s">
        <v>20</v>
      </c>
      <c r="E357" t="s">
        <v>13</v>
      </c>
      <c r="F357">
        <v>18.295865200000001</v>
      </c>
      <c r="G357">
        <v>82.914474799999994</v>
      </c>
      <c r="H357">
        <v>1</v>
      </c>
      <c r="I357" t="s">
        <v>14</v>
      </c>
      <c r="J357" t="s">
        <v>12</v>
      </c>
    </row>
    <row r="358" spans="1:10">
      <c r="A358">
        <v>479077</v>
      </c>
      <c r="B358" t="s">
        <v>28</v>
      </c>
      <c r="C358" t="s">
        <v>12</v>
      </c>
      <c r="D358" t="s">
        <v>20</v>
      </c>
      <c r="E358" t="s">
        <v>13</v>
      </c>
      <c r="F358">
        <v>18.313714099999999</v>
      </c>
      <c r="G358">
        <v>82.893742399999994</v>
      </c>
      <c r="H358">
        <v>1</v>
      </c>
      <c r="I358" t="s">
        <v>14</v>
      </c>
      <c r="J358" t="s">
        <v>12</v>
      </c>
    </row>
    <row r="359" spans="1:10">
      <c r="A359">
        <v>479076</v>
      </c>
      <c r="B359" t="s">
        <v>19</v>
      </c>
      <c r="C359" t="s">
        <v>12</v>
      </c>
      <c r="D359" t="s">
        <v>20</v>
      </c>
      <c r="E359" t="s">
        <v>13</v>
      </c>
      <c r="F359">
        <v>18.139519</v>
      </c>
      <c r="G359">
        <v>83.617594999999994</v>
      </c>
      <c r="H359">
        <v>1</v>
      </c>
      <c r="I359" t="s">
        <v>14</v>
      </c>
      <c r="J359" t="s">
        <v>12</v>
      </c>
    </row>
    <row r="360" spans="1:10">
      <c r="A360">
        <v>479075</v>
      </c>
      <c r="B360" t="s">
        <v>32</v>
      </c>
      <c r="C360" t="s">
        <v>12</v>
      </c>
      <c r="D360" t="s">
        <v>20</v>
      </c>
      <c r="E360" t="s">
        <v>13</v>
      </c>
      <c r="F360">
        <v>18.1499177</v>
      </c>
      <c r="G360">
        <v>83.635310599999997</v>
      </c>
      <c r="H360">
        <v>1</v>
      </c>
      <c r="I360" t="s">
        <v>14</v>
      </c>
      <c r="J360" t="s">
        <v>12</v>
      </c>
    </row>
    <row r="361" spans="1:10">
      <c r="A361">
        <v>479074</v>
      </c>
      <c r="B361" t="s">
        <v>19</v>
      </c>
      <c r="C361" t="s">
        <v>12</v>
      </c>
      <c r="D361" t="s">
        <v>20</v>
      </c>
      <c r="E361" t="s">
        <v>13</v>
      </c>
      <c r="F361">
        <v>18.173031999999999</v>
      </c>
      <c r="G361">
        <v>83.676948999999993</v>
      </c>
      <c r="H361">
        <v>1</v>
      </c>
      <c r="I361" t="s">
        <v>14</v>
      </c>
      <c r="J361" t="s">
        <v>12</v>
      </c>
    </row>
    <row r="362" spans="1:10">
      <c r="A362">
        <v>479073</v>
      </c>
      <c r="B362" t="s">
        <v>65</v>
      </c>
      <c r="C362" t="s">
        <v>12</v>
      </c>
      <c r="D362" t="s">
        <v>20</v>
      </c>
      <c r="E362" t="s">
        <v>13</v>
      </c>
      <c r="F362">
        <v>18.0418515</v>
      </c>
      <c r="G362">
        <v>83.509722100000005</v>
      </c>
      <c r="H362">
        <v>1</v>
      </c>
      <c r="I362" t="s">
        <v>14</v>
      </c>
      <c r="J362" t="s">
        <v>12</v>
      </c>
    </row>
    <row r="363" spans="1:10">
      <c r="A363">
        <v>479072</v>
      </c>
      <c r="B363" t="s">
        <v>66</v>
      </c>
      <c r="C363" t="s">
        <v>12</v>
      </c>
      <c r="D363" t="s">
        <v>20</v>
      </c>
      <c r="E363" t="s">
        <v>13</v>
      </c>
      <c r="F363">
        <v>18.020385699999999</v>
      </c>
      <c r="G363">
        <v>83.4020948</v>
      </c>
      <c r="H363">
        <v>1</v>
      </c>
      <c r="I363" t="s">
        <v>14</v>
      </c>
      <c r="J363" t="s">
        <v>12</v>
      </c>
    </row>
    <row r="364" spans="1:10">
      <c r="A364">
        <v>479071</v>
      </c>
      <c r="B364" t="s">
        <v>24</v>
      </c>
      <c r="C364" t="s">
        <v>12</v>
      </c>
      <c r="D364" t="s">
        <v>20</v>
      </c>
      <c r="E364" t="s">
        <v>13</v>
      </c>
      <c r="F364">
        <v>18.056500700000001</v>
      </c>
      <c r="G364">
        <v>83.397112800000002</v>
      </c>
      <c r="H364">
        <v>1</v>
      </c>
      <c r="I364" t="s">
        <v>14</v>
      </c>
      <c r="J364" t="s">
        <v>12</v>
      </c>
    </row>
    <row r="365" spans="1:10">
      <c r="A365">
        <v>479070</v>
      </c>
      <c r="B365" t="s">
        <v>28</v>
      </c>
      <c r="C365" t="s">
        <v>12</v>
      </c>
      <c r="D365" t="s">
        <v>20</v>
      </c>
      <c r="E365" t="s">
        <v>13</v>
      </c>
      <c r="F365">
        <v>18.057097200000001</v>
      </c>
      <c r="G365">
        <v>83.397188099999994</v>
      </c>
      <c r="H365">
        <v>1</v>
      </c>
      <c r="I365" t="s">
        <v>14</v>
      </c>
      <c r="J365" t="s">
        <v>12</v>
      </c>
    </row>
    <row r="366" spans="1:10">
      <c r="A366">
        <v>479069</v>
      </c>
      <c r="B366" t="s">
        <v>67</v>
      </c>
      <c r="C366" t="s">
        <v>12</v>
      </c>
      <c r="D366" t="s">
        <v>20</v>
      </c>
      <c r="E366" t="s">
        <v>13</v>
      </c>
      <c r="F366">
        <v>18.092801600000001</v>
      </c>
      <c r="G366">
        <v>83.388404699999995</v>
      </c>
      <c r="H366">
        <v>1</v>
      </c>
      <c r="I366" t="s">
        <v>14</v>
      </c>
      <c r="J366" t="s">
        <v>12</v>
      </c>
    </row>
    <row r="367" spans="1:10">
      <c r="A367">
        <v>479068</v>
      </c>
      <c r="B367" t="s">
        <v>24</v>
      </c>
      <c r="C367" t="s">
        <v>12</v>
      </c>
      <c r="D367" t="s">
        <v>20</v>
      </c>
      <c r="E367" t="s">
        <v>13</v>
      </c>
      <c r="F367">
        <v>18.080786</v>
      </c>
      <c r="G367">
        <v>83.385279999999995</v>
      </c>
      <c r="H367">
        <v>1</v>
      </c>
      <c r="I367" t="s">
        <v>14</v>
      </c>
      <c r="J367" t="s">
        <v>12</v>
      </c>
    </row>
    <row r="368" spans="1:10">
      <c r="A368">
        <v>479067</v>
      </c>
      <c r="B368" t="s">
        <v>21</v>
      </c>
      <c r="C368" t="s">
        <v>12</v>
      </c>
      <c r="D368" t="s">
        <v>20</v>
      </c>
      <c r="E368" t="s">
        <v>13</v>
      </c>
      <c r="F368">
        <v>17.9524227</v>
      </c>
      <c r="G368">
        <v>83.416358099999997</v>
      </c>
      <c r="H368">
        <v>1</v>
      </c>
      <c r="I368" t="s">
        <v>14</v>
      </c>
      <c r="J368" t="s">
        <v>12</v>
      </c>
    </row>
    <row r="369" spans="1:10">
      <c r="A369">
        <v>479066</v>
      </c>
      <c r="B369" t="s">
        <v>24</v>
      </c>
      <c r="C369" t="s">
        <v>12</v>
      </c>
      <c r="D369" t="s">
        <v>20</v>
      </c>
      <c r="E369" t="s">
        <v>13</v>
      </c>
      <c r="F369">
        <v>18.080143799999998</v>
      </c>
      <c r="G369">
        <v>83.385350900000006</v>
      </c>
      <c r="H369">
        <v>1</v>
      </c>
      <c r="I369" t="s">
        <v>14</v>
      </c>
      <c r="J369" t="s">
        <v>12</v>
      </c>
    </row>
    <row r="370" spans="1:10">
      <c r="A370">
        <v>479065</v>
      </c>
      <c r="B370" t="s">
        <v>22</v>
      </c>
      <c r="C370" t="s">
        <v>12</v>
      </c>
      <c r="D370" t="s">
        <v>20</v>
      </c>
      <c r="E370" t="s">
        <v>13</v>
      </c>
      <c r="F370">
        <v>17.952421000000001</v>
      </c>
      <c r="G370">
        <v>83.416310999999993</v>
      </c>
      <c r="H370">
        <v>1</v>
      </c>
      <c r="I370" t="s">
        <v>14</v>
      </c>
      <c r="J370" t="s">
        <v>12</v>
      </c>
    </row>
    <row r="371" spans="1:10">
      <c r="A371">
        <v>479064</v>
      </c>
      <c r="B371" t="s">
        <v>19</v>
      </c>
      <c r="C371" t="s">
        <v>12</v>
      </c>
      <c r="D371" t="s">
        <v>20</v>
      </c>
      <c r="E371" t="s">
        <v>13</v>
      </c>
      <c r="F371">
        <v>17.957767700000002</v>
      </c>
      <c r="G371">
        <v>83.177360399999998</v>
      </c>
      <c r="H371">
        <v>1</v>
      </c>
      <c r="I371" t="s">
        <v>14</v>
      </c>
      <c r="J371" t="s">
        <v>12</v>
      </c>
    </row>
    <row r="372" spans="1:10">
      <c r="A372">
        <v>479063</v>
      </c>
      <c r="B372" t="s">
        <v>24</v>
      </c>
      <c r="C372" t="s">
        <v>12</v>
      </c>
      <c r="D372" t="s">
        <v>20</v>
      </c>
      <c r="E372" t="s">
        <v>13</v>
      </c>
      <c r="F372">
        <v>18.116682000000001</v>
      </c>
      <c r="G372">
        <v>83.137720000000002</v>
      </c>
      <c r="H372">
        <v>1</v>
      </c>
      <c r="I372" t="s">
        <v>14</v>
      </c>
      <c r="J372" t="s">
        <v>12</v>
      </c>
    </row>
    <row r="373" spans="1:10">
      <c r="A373">
        <v>479062</v>
      </c>
      <c r="B373" t="s">
        <v>23</v>
      </c>
      <c r="C373" t="s">
        <v>12</v>
      </c>
      <c r="D373" t="s">
        <v>20</v>
      </c>
      <c r="E373" t="s">
        <v>13</v>
      </c>
      <c r="F373">
        <v>18.289377999999999</v>
      </c>
      <c r="G373">
        <v>83.914593999999994</v>
      </c>
      <c r="H373">
        <v>1</v>
      </c>
      <c r="I373" t="s">
        <v>14</v>
      </c>
      <c r="J373" t="s">
        <v>12</v>
      </c>
    </row>
    <row r="374" spans="1:10">
      <c r="A374">
        <v>478918</v>
      </c>
      <c r="B374" t="s">
        <v>68</v>
      </c>
      <c r="C374" t="s">
        <v>69</v>
      </c>
      <c r="D374" t="s">
        <v>70</v>
      </c>
      <c r="E374" t="s">
        <v>13</v>
      </c>
      <c r="F374">
        <v>8.5034954799999998</v>
      </c>
      <c r="G374">
        <v>76.911661640000005</v>
      </c>
      <c r="H374">
        <v>2</v>
      </c>
      <c r="I374" t="s">
        <v>14</v>
      </c>
      <c r="J374" t="s">
        <v>71</v>
      </c>
    </row>
    <row r="375" spans="1:10">
      <c r="A375">
        <v>478917</v>
      </c>
      <c r="B375" t="s">
        <v>72</v>
      </c>
      <c r="C375" t="s">
        <v>73</v>
      </c>
      <c r="D375" t="s">
        <v>70</v>
      </c>
      <c r="E375" t="s">
        <v>13</v>
      </c>
      <c r="F375">
        <v>8.3159688329999994</v>
      </c>
      <c r="G375">
        <v>77.090354649999995</v>
      </c>
      <c r="H375">
        <v>3</v>
      </c>
      <c r="I375" t="s">
        <v>14</v>
      </c>
      <c r="J375" t="s">
        <v>71</v>
      </c>
    </row>
    <row r="376" spans="1:10">
      <c r="A376">
        <v>478916</v>
      </c>
      <c r="B376" t="s">
        <v>74</v>
      </c>
      <c r="C376" t="s">
        <v>75</v>
      </c>
      <c r="D376" t="s">
        <v>70</v>
      </c>
      <c r="E376" t="s">
        <v>13</v>
      </c>
      <c r="F376">
        <v>9.4786627719999998</v>
      </c>
      <c r="G376">
        <v>76.844871990000001</v>
      </c>
      <c r="H376">
        <v>3</v>
      </c>
      <c r="I376" t="s">
        <v>14</v>
      </c>
      <c r="J376" t="s">
        <v>71</v>
      </c>
    </row>
    <row r="377" spans="1:10">
      <c r="A377">
        <v>478915</v>
      </c>
      <c r="B377" t="s">
        <v>76</v>
      </c>
      <c r="C377" t="s">
        <v>77</v>
      </c>
      <c r="D377" t="s">
        <v>70</v>
      </c>
      <c r="E377" t="s">
        <v>13</v>
      </c>
      <c r="F377">
        <v>10.0141442</v>
      </c>
      <c r="G377">
        <v>76.943829969999996</v>
      </c>
      <c r="H377">
        <v>2</v>
      </c>
      <c r="I377" t="s">
        <v>14</v>
      </c>
      <c r="J377" t="s">
        <v>71</v>
      </c>
    </row>
    <row r="378" spans="1:10">
      <c r="A378">
        <v>478914</v>
      </c>
      <c r="B378" t="s">
        <v>78</v>
      </c>
      <c r="C378" t="s">
        <v>79</v>
      </c>
      <c r="D378" t="s">
        <v>70</v>
      </c>
      <c r="E378" t="s">
        <v>13</v>
      </c>
      <c r="F378">
        <v>10.069936650000001</v>
      </c>
      <c r="G378">
        <v>77.060941940000006</v>
      </c>
      <c r="H378">
        <v>2</v>
      </c>
      <c r="I378" t="s">
        <v>14</v>
      </c>
      <c r="J378" t="s">
        <v>71</v>
      </c>
    </row>
    <row r="379" spans="1:10">
      <c r="A379">
        <v>478913</v>
      </c>
      <c r="B379" t="s">
        <v>80</v>
      </c>
      <c r="C379" t="s">
        <v>81</v>
      </c>
      <c r="D379" t="s">
        <v>70</v>
      </c>
      <c r="E379" t="s">
        <v>13</v>
      </c>
      <c r="F379">
        <v>9.7027619749999996</v>
      </c>
      <c r="G379">
        <v>76.721193749999998</v>
      </c>
      <c r="H379">
        <v>2</v>
      </c>
      <c r="I379" t="s">
        <v>14</v>
      </c>
      <c r="J379" t="s">
        <v>71</v>
      </c>
    </row>
    <row r="380" spans="1:10">
      <c r="A380">
        <v>478912</v>
      </c>
      <c r="B380" t="s">
        <v>82</v>
      </c>
      <c r="C380" t="s">
        <v>83</v>
      </c>
      <c r="D380" t="s">
        <v>70</v>
      </c>
      <c r="E380" t="s">
        <v>13</v>
      </c>
      <c r="F380">
        <v>9.6925764290000007</v>
      </c>
      <c r="G380">
        <v>76.55969005</v>
      </c>
      <c r="H380">
        <v>2</v>
      </c>
      <c r="I380" t="s">
        <v>14</v>
      </c>
      <c r="J380" t="s">
        <v>71</v>
      </c>
    </row>
    <row r="381" spans="1:10">
      <c r="A381">
        <v>478911</v>
      </c>
      <c r="B381" t="s">
        <v>84</v>
      </c>
      <c r="C381" t="s">
        <v>85</v>
      </c>
      <c r="D381" t="s">
        <v>70</v>
      </c>
      <c r="E381" t="s">
        <v>13</v>
      </c>
      <c r="F381">
        <v>9.8613407459999998</v>
      </c>
      <c r="G381">
        <v>76.595990110000002</v>
      </c>
      <c r="H381">
        <v>2</v>
      </c>
      <c r="I381" t="s">
        <v>14</v>
      </c>
      <c r="J381" t="s">
        <v>71</v>
      </c>
    </row>
    <row r="382" spans="1:10">
      <c r="A382">
        <v>478910</v>
      </c>
      <c r="B382" t="s">
        <v>86</v>
      </c>
      <c r="C382" t="s">
        <v>85</v>
      </c>
      <c r="D382" t="s">
        <v>70</v>
      </c>
      <c r="E382" t="s">
        <v>13</v>
      </c>
      <c r="F382">
        <v>9.8720652770000008</v>
      </c>
      <c r="G382">
        <v>76.596114589999999</v>
      </c>
      <c r="H382">
        <v>3</v>
      </c>
      <c r="I382" t="s">
        <v>14</v>
      </c>
      <c r="J382" t="s">
        <v>71</v>
      </c>
    </row>
    <row r="383" spans="1:10">
      <c r="A383">
        <v>478909</v>
      </c>
      <c r="B383" t="s">
        <v>87</v>
      </c>
      <c r="C383" t="s">
        <v>88</v>
      </c>
      <c r="D383" t="s">
        <v>70</v>
      </c>
      <c r="E383" t="s">
        <v>13</v>
      </c>
      <c r="F383">
        <v>10.058637620000001</v>
      </c>
      <c r="G383">
        <v>76.652377920000006</v>
      </c>
      <c r="H383">
        <v>2</v>
      </c>
      <c r="I383" t="s">
        <v>14</v>
      </c>
      <c r="J383" t="s">
        <v>71</v>
      </c>
    </row>
    <row r="384" spans="1:10">
      <c r="A384">
        <v>478908</v>
      </c>
      <c r="B384" t="s">
        <v>89</v>
      </c>
      <c r="C384" t="s">
        <v>90</v>
      </c>
      <c r="D384" t="s">
        <v>70</v>
      </c>
      <c r="E384" t="s">
        <v>13</v>
      </c>
      <c r="F384">
        <v>10.06823616</v>
      </c>
      <c r="G384">
        <v>76.386813529999998</v>
      </c>
      <c r="H384">
        <v>2</v>
      </c>
      <c r="I384" t="s">
        <v>14</v>
      </c>
      <c r="J384" t="s">
        <v>71</v>
      </c>
    </row>
    <row r="385" spans="1:10">
      <c r="A385">
        <v>478907</v>
      </c>
      <c r="B385" t="s">
        <v>91</v>
      </c>
      <c r="C385" t="s">
        <v>92</v>
      </c>
      <c r="D385" t="s">
        <v>70</v>
      </c>
      <c r="E385" t="s">
        <v>13</v>
      </c>
      <c r="F385">
        <v>10.11057497</v>
      </c>
      <c r="G385">
        <v>76.372872740000005</v>
      </c>
      <c r="H385">
        <v>2</v>
      </c>
      <c r="I385" t="s">
        <v>14</v>
      </c>
      <c r="J385" t="s">
        <v>71</v>
      </c>
    </row>
    <row r="386" spans="1:10">
      <c r="A386">
        <v>478906</v>
      </c>
      <c r="B386" t="s">
        <v>93</v>
      </c>
      <c r="C386" t="s">
        <v>94</v>
      </c>
      <c r="D386" t="s">
        <v>70</v>
      </c>
      <c r="E386" t="s">
        <v>13</v>
      </c>
      <c r="F386">
        <v>10.08867027</v>
      </c>
      <c r="G386">
        <v>76.424419880000002</v>
      </c>
      <c r="H386">
        <v>2</v>
      </c>
      <c r="I386" t="s">
        <v>14</v>
      </c>
      <c r="J386" t="s">
        <v>71</v>
      </c>
    </row>
    <row r="387" spans="1:10">
      <c r="A387">
        <v>478905</v>
      </c>
      <c r="B387" t="s">
        <v>95</v>
      </c>
      <c r="C387" t="s">
        <v>96</v>
      </c>
      <c r="D387" t="s">
        <v>70</v>
      </c>
      <c r="E387" t="s">
        <v>13</v>
      </c>
      <c r="F387">
        <v>10.11154054</v>
      </c>
      <c r="G387">
        <v>76.478927569999996</v>
      </c>
      <c r="H387">
        <v>2</v>
      </c>
      <c r="I387" t="s">
        <v>14</v>
      </c>
      <c r="J387" t="s">
        <v>71</v>
      </c>
    </row>
    <row r="388" spans="1:10">
      <c r="A388">
        <v>478904</v>
      </c>
      <c r="B388" t="s">
        <v>97</v>
      </c>
      <c r="C388" t="s">
        <v>96</v>
      </c>
      <c r="D388" t="s">
        <v>70</v>
      </c>
      <c r="E388" t="s">
        <v>13</v>
      </c>
      <c r="F388">
        <v>10.16308064</v>
      </c>
      <c r="G388">
        <v>76.48721725</v>
      </c>
      <c r="H388">
        <v>2</v>
      </c>
      <c r="I388" t="s">
        <v>14</v>
      </c>
      <c r="J388" t="s">
        <v>71</v>
      </c>
    </row>
    <row r="389" spans="1:10">
      <c r="A389">
        <v>478903</v>
      </c>
      <c r="B389" t="s">
        <v>98</v>
      </c>
      <c r="C389" t="s">
        <v>99</v>
      </c>
      <c r="D389" t="s">
        <v>70</v>
      </c>
      <c r="E389" t="s">
        <v>13</v>
      </c>
      <c r="F389">
        <v>10.16879256</v>
      </c>
      <c r="G389">
        <v>76.434744129999999</v>
      </c>
      <c r="H389">
        <v>2</v>
      </c>
      <c r="I389" t="s">
        <v>14</v>
      </c>
      <c r="J389" t="s">
        <v>71</v>
      </c>
    </row>
    <row r="390" spans="1:10">
      <c r="A390">
        <v>478902</v>
      </c>
      <c r="B390" t="s">
        <v>100</v>
      </c>
      <c r="C390" t="s">
        <v>101</v>
      </c>
      <c r="D390" t="s">
        <v>70</v>
      </c>
      <c r="E390" t="s">
        <v>13</v>
      </c>
      <c r="F390">
        <v>10.16452076</v>
      </c>
      <c r="G390">
        <v>76.233289929999998</v>
      </c>
      <c r="H390">
        <v>2</v>
      </c>
      <c r="I390" t="s">
        <v>14</v>
      </c>
      <c r="J390" t="s">
        <v>71</v>
      </c>
    </row>
    <row r="391" spans="1:10">
      <c r="A391">
        <v>478901</v>
      </c>
      <c r="B391" t="s">
        <v>102</v>
      </c>
      <c r="C391" t="s">
        <v>103</v>
      </c>
      <c r="D391" t="s">
        <v>70</v>
      </c>
      <c r="E391" t="s">
        <v>13</v>
      </c>
      <c r="F391">
        <v>10.14922378</v>
      </c>
      <c r="G391">
        <v>76.226505900000006</v>
      </c>
      <c r="H391">
        <v>2</v>
      </c>
      <c r="I391" t="s">
        <v>14</v>
      </c>
      <c r="J391" t="s">
        <v>71</v>
      </c>
    </row>
    <row r="392" spans="1:10">
      <c r="A392">
        <v>478900</v>
      </c>
      <c r="B392" t="s">
        <v>104</v>
      </c>
      <c r="C392" t="s">
        <v>105</v>
      </c>
      <c r="D392" t="s">
        <v>70</v>
      </c>
      <c r="E392" t="s">
        <v>13</v>
      </c>
      <c r="F392">
        <v>10.203141260000001</v>
      </c>
      <c r="G392">
        <v>76.200400950000002</v>
      </c>
      <c r="H392">
        <v>3</v>
      </c>
      <c r="I392" t="s">
        <v>14</v>
      </c>
      <c r="J392" t="s">
        <v>71</v>
      </c>
    </row>
    <row r="393" spans="1:10">
      <c r="A393">
        <v>478899</v>
      </c>
      <c r="B393" t="s">
        <v>106</v>
      </c>
      <c r="C393" t="s">
        <v>107</v>
      </c>
      <c r="D393" t="s">
        <v>70</v>
      </c>
      <c r="E393" t="s">
        <v>13</v>
      </c>
      <c r="F393">
        <v>10.5121401</v>
      </c>
      <c r="G393">
        <v>76.248896209999998</v>
      </c>
      <c r="H393">
        <v>1</v>
      </c>
      <c r="I393" t="s">
        <v>14</v>
      </c>
      <c r="J393" t="s">
        <v>71</v>
      </c>
    </row>
    <row r="394" spans="1:10">
      <c r="A394">
        <v>478898</v>
      </c>
      <c r="B394" t="s">
        <v>108</v>
      </c>
      <c r="C394" t="s">
        <v>109</v>
      </c>
      <c r="D394" t="s">
        <v>70</v>
      </c>
      <c r="E394" t="s">
        <v>13</v>
      </c>
      <c r="F394">
        <v>10.6429724</v>
      </c>
      <c r="G394">
        <v>75.985580479999996</v>
      </c>
      <c r="H394">
        <v>2</v>
      </c>
      <c r="I394" t="s">
        <v>14</v>
      </c>
      <c r="J394" t="s">
        <v>71</v>
      </c>
    </row>
    <row r="395" spans="1:10">
      <c r="A395">
        <v>478897</v>
      </c>
      <c r="B395" t="s">
        <v>110</v>
      </c>
      <c r="C395" t="s">
        <v>111</v>
      </c>
      <c r="D395" t="s">
        <v>70</v>
      </c>
      <c r="E395" t="s">
        <v>13</v>
      </c>
      <c r="F395">
        <v>10.593309830000001</v>
      </c>
      <c r="G395">
        <v>76.037396880000003</v>
      </c>
      <c r="H395">
        <v>2</v>
      </c>
      <c r="I395" t="s">
        <v>14</v>
      </c>
      <c r="J395" t="s">
        <v>71</v>
      </c>
    </row>
    <row r="396" spans="1:10">
      <c r="A396">
        <v>478896</v>
      </c>
      <c r="B396" t="s">
        <v>112</v>
      </c>
      <c r="C396" t="s">
        <v>113</v>
      </c>
      <c r="D396" t="s">
        <v>70</v>
      </c>
      <c r="E396" t="s">
        <v>13</v>
      </c>
      <c r="F396">
        <v>10.611860180000001</v>
      </c>
      <c r="G396">
        <v>76.684164789999997</v>
      </c>
      <c r="H396">
        <v>1</v>
      </c>
      <c r="I396" t="s">
        <v>14</v>
      </c>
      <c r="J396" t="s">
        <v>71</v>
      </c>
    </row>
    <row r="397" spans="1:10">
      <c r="A397">
        <v>478895</v>
      </c>
      <c r="B397" t="s">
        <v>114</v>
      </c>
      <c r="C397" t="s">
        <v>115</v>
      </c>
      <c r="D397" t="s">
        <v>70</v>
      </c>
      <c r="E397" t="s">
        <v>13</v>
      </c>
      <c r="F397">
        <v>10.819635720000001</v>
      </c>
      <c r="G397">
        <v>76.810196910000002</v>
      </c>
      <c r="H397">
        <v>3</v>
      </c>
      <c r="I397" t="s">
        <v>14</v>
      </c>
      <c r="J397" t="s">
        <v>71</v>
      </c>
    </row>
    <row r="398" spans="1:10">
      <c r="A398">
        <v>478894</v>
      </c>
      <c r="B398" t="s">
        <v>116</v>
      </c>
      <c r="C398" t="s">
        <v>117</v>
      </c>
      <c r="D398" t="s">
        <v>70</v>
      </c>
      <c r="E398" t="s">
        <v>13</v>
      </c>
      <c r="F398">
        <v>10.901221319999999</v>
      </c>
      <c r="G398">
        <v>75.925416389999995</v>
      </c>
      <c r="H398">
        <v>2</v>
      </c>
      <c r="I398" t="s">
        <v>14</v>
      </c>
      <c r="J398" t="s">
        <v>71</v>
      </c>
    </row>
    <row r="399" spans="1:10">
      <c r="A399">
        <v>478893</v>
      </c>
      <c r="B399" t="s">
        <v>118</v>
      </c>
      <c r="C399" t="s">
        <v>119</v>
      </c>
      <c r="D399" t="s">
        <v>70</v>
      </c>
      <c r="E399" t="s">
        <v>13</v>
      </c>
      <c r="F399">
        <v>11.179791939999999</v>
      </c>
      <c r="G399">
        <v>75.872134709999997</v>
      </c>
      <c r="H399">
        <v>2</v>
      </c>
      <c r="I399" t="s">
        <v>14</v>
      </c>
      <c r="J399" t="s">
        <v>71</v>
      </c>
    </row>
    <row r="400" spans="1:10">
      <c r="A400">
        <v>478892</v>
      </c>
      <c r="B400" t="s">
        <v>120</v>
      </c>
      <c r="C400" t="s">
        <v>121</v>
      </c>
      <c r="D400" t="s">
        <v>70</v>
      </c>
      <c r="E400" t="s">
        <v>13</v>
      </c>
      <c r="F400">
        <v>11.28048199</v>
      </c>
      <c r="G400">
        <v>75.879104830000003</v>
      </c>
      <c r="H400">
        <v>2</v>
      </c>
      <c r="I400" t="s">
        <v>14</v>
      </c>
      <c r="J400" t="s">
        <v>71</v>
      </c>
    </row>
    <row r="401" spans="1:10">
      <c r="A401">
        <v>478891</v>
      </c>
      <c r="B401" t="s">
        <v>122</v>
      </c>
      <c r="C401" t="s">
        <v>123</v>
      </c>
      <c r="D401" t="s">
        <v>70</v>
      </c>
      <c r="E401" t="s">
        <v>13</v>
      </c>
      <c r="F401">
        <v>11.29802224</v>
      </c>
      <c r="G401">
        <v>75.853000390000005</v>
      </c>
      <c r="H401">
        <v>2</v>
      </c>
      <c r="I401" t="s">
        <v>14</v>
      </c>
      <c r="J401" t="s">
        <v>71</v>
      </c>
    </row>
    <row r="402" spans="1:10">
      <c r="A402">
        <v>478890</v>
      </c>
      <c r="B402" t="s">
        <v>124</v>
      </c>
      <c r="C402" t="s">
        <v>125</v>
      </c>
      <c r="D402" t="s">
        <v>70</v>
      </c>
      <c r="E402" t="s">
        <v>13</v>
      </c>
      <c r="F402">
        <v>11.24085462</v>
      </c>
      <c r="G402">
        <v>75.802698520000007</v>
      </c>
      <c r="H402">
        <v>5</v>
      </c>
      <c r="I402" t="s">
        <v>14</v>
      </c>
      <c r="J402" t="s">
        <v>71</v>
      </c>
    </row>
    <row r="403" spans="1:10">
      <c r="A403">
        <v>478888</v>
      </c>
      <c r="B403" t="s">
        <v>126</v>
      </c>
      <c r="C403" t="s">
        <v>127</v>
      </c>
      <c r="D403" t="s">
        <v>70</v>
      </c>
      <c r="E403" t="s">
        <v>13</v>
      </c>
      <c r="F403">
        <v>11.44624844</v>
      </c>
      <c r="G403">
        <v>75.833079690000005</v>
      </c>
      <c r="H403">
        <v>4</v>
      </c>
      <c r="I403" t="s">
        <v>14</v>
      </c>
      <c r="J403" t="s">
        <v>71</v>
      </c>
    </row>
    <row r="404" spans="1:10">
      <c r="A404">
        <v>478887</v>
      </c>
      <c r="B404" t="s">
        <v>128</v>
      </c>
      <c r="C404" t="s">
        <v>129</v>
      </c>
      <c r="D404" t="s">
        <v>70</v>
      </c>
      <c r="E404" t="s">
        <v>13</v>
      </c>
      <c r="F404">
        <v>11.551253689999999</v>
      </c>
      <c r="G404">
        <v>75.746257110000002</v>
      </c>
      <c r="H404">
        <v>3</v>
      </c>
      <c r="I404" t="s">
        <v>14</v>
      </c>
      <c r="J404" t="s">
        <v>71</v>
      </c>
    </row>
    <row r="405" spans="1:10">
      <c r="A405">
        <v>478886</v>
      </c>
      <c r="B405" t="s">
        <v>130</v>
      </c>
      <c r="C405" t="s">
        <v>131</v>
      </c>
      <c r="D405" t="s">
        <v>70</v>
      </c>
      <c r="E405" t="s">
        <v>13</v>
      </c>
      <c r="F405">
        <v>11.881399160000001</v>
      </c>
      <c r="G405">
        <v>75.501313769999996</v>
      </c>
      <c r="H405">
        <v>3</v>
      </c>
      <c r="I405" t="s">
        <v>14</v>
      </c>
      <c r="J405" t="s">
        <v>71</v>
      </c>
    </row>
    <row r="406" spans="1:10">
      <c r="A406">
        <v>478885</v>
      </c>
      <c r="B406" t="s">
        <v>132</v>
      </c>
      <c r="C406" t="s">
        <v>133</v>
      </c>
      <c r="D406" t="s">
        <v>70</v>
      </c>
      <c r="E406" t="s">
        <v>13</v>
      </c>
      <c r="F406">
        <v>12.04252833</v>
      </c>
      <c r="G406">
        <v>75.509833639999997</v>
      </c>
      <c r="H406">
        <v>2</v>
      </c>
      <c r="I406" t="s">
        <v>14</v>
      </c>
      <c r="J406" t="s">
        <v>71</v>
      </c>
    </row>
    <row r="407" spans="1:10">
      <c r="A407">
        <v>478884</v>
      </c>
      <c r="B407" t="s">
        <v>134</v>
      </c>
      <c r="C407" t="s">
        <v>135</v>
      </c>
      <c r="D407" t="s">
        <v>70</v>
      </c>
      <c r="E407" t="s">
        <v>13</v>
      </c>
      <c r="F407">
        <v>12.606281839999999</v>
      </c>
      <c r="G407">
        <v>74.938438239999996</v>
      </c>
      <c r="H407">
        <v>1</v>
      </c>
      <c r="I407" t="s">
        <v>14</v>
      </c>
      <c r="J407" t="s">
        <v>71</v>
      </c>
    </row>
    <row r="408" spans="1:10">
      <c r="A408">
        <v>478883</v>
      </c>
      <c r="B408" t="s">
        <v>136</v>
      </c>
      <c r="C408" t="s">
        <v>137</v>
      </c>
      <c r="D408" t="s">
        <v>138</v>
      </c>
      <c r="E408" t="s">
        <v>13</v>
      </c>
      <c r="F408">
        <v>12.744285809999999</v>
      </c>
      <c r="G408">
        <v>80.239281300000002</v>
      </c>
      <c r="H408">
        <v>2</v>
      </c>
      <c r="I408" t="s">
        <v>14</v>
      </c>
      <c r="J408" t="s">
        <v>139</v>
      </c>
    </row>
    <row r="409" spans="1:10">
      <c r="A409">
        <v>478882</v>
      </c>
      <c r="B409" t="s">
        <v>140</v>
      </c>
      <c r="C409" t="s">
        <v>141</v>
      </c>
      <c r="D409" t="s">
        <v>138</v>
      </c>
      <c r="E409" t="s">
        <v>13</v>
      </c>
      <c r="F409">
        <v>12.61307921</v>
      </c>
      <c r="G409">
        <v>80.168796240000006</v>
      </c>
      <c r="H409">
        <v>2</v>
      </c>
      <c r="I409" t="s">
        <v>14</v>
      </c>
      <c r="J409" t="s">
        <v>139</v>
      </c>
    </row>
    <row r="410" spans="1:10">
      <c r="A410">
        <v>478881</v>
      </c>
      <c r="B410" t="s">
        <v>142</v>
      </c>
      <c r="C410" t="s">
        <v>143</v>
      </c>
      <c r="D410" t="s">
        <v>138</v>
      </c>
      <c r="E410" t="s">
        <v>13</v>
      </c>
      <c r="F410">
        <v>12.927433990000001</v>
      </c>
      <c r="G410">
        <v>79.934162229999998</v>
      </c>
      <c r="H410">
        <v>4</v>
      </c>
      <c r="I410" t="s">
        <v>14</v>
      </c>
      <c r="J410" t="s">
        <v>139</v>
      </c>
    </row>
    <row r="411" spans="1:10">
      <c r="A411">
        <v>478880</v>
      </c>
      <c r="B411" t="s">
        <v>144</v>
      </c>
      <c r="C411" t="s">
        <v>143</v>
      </c>
      <c r="D411" t="s">
        <v>138</v>
      </c>
      <c r="E411" t="s">
        <v>13</v>
      </c>
      <c r="F411">
        <v>12.932607259999999</v>
      </c>
      <c r="G411">
        <v>79.905816360000003</v>
      </c>
      <c r="H411">
        <v>2</v>
      </c>
      <c r="I411" t="s">
        <v>14</v>
      </c>
      <c r="J411" t="s">
        <v>139</v>
      </c>
    </row>
    <row r="412" spans="1:10">
      <c r="A412">
        <v>478879</v>
      </c>
      <c r="B412" t="s">
        <v>145</v>
      </c>
      <c r="C412" t="s">
        <v>146</v>
      </c>
      <c r="D412" t="s">
        <v>138</v>
      </c>
      <c r="E412" t="s">
        <v>13</v>
      </c>
      <c r="F412">
        <v>12.258660689999999</v>
      </c>
      <c r="G412">
        <v>79.068388589999998</v>
      </c>
      <c r="H412">
        <v>2</v>
      </c>
      <c r="I412" t="s">
        <v>14</v>
      </c>
      <c r="J412" t="s">
        <v>139</v>
      </c>
    </row>
    <row r="413" spans="1:10">
      <c r="A413">
        <v>478878</v>
      </c>
      <c r="B413" t="s">
        <v>147</v>
      </c>
      <c r="C413" t="s">
        <v>148</v>
      </c>
      <c r="D413" t="s">
        <v>138</v>
      </c>
      <c r="E413" t="s">
        <v>13</v>
      </c>
      <c r="F413">
        <v>11.81284597</v>
      </c>
      <c r="G413">
        <v>79.418019650000005</v>
      </c>
      <c r="H413">
        <v>4</v>
      </c>
      <c r="I413" t="s">
        <v>14</v>
      </c>
      <c r="J413" t="s">
        <v>139</v>
      </c>
    </row>
    <row r="414" spans="1:10">
      <c r="A414">
        <v>478877</v>
      </c>
      <c r="B414" t="s">
        <v>149</v>
      </c>
      <c r="C414" t="s">
        <v>150</v>
      </c>
      <c r="D414" t="s">
        <v>138</v>
      </c>
      <c r="E414" t="s">
        <v>13</v>
      </c>
      <c r="F414">
        <v>11.26305138</v>
      </c>
      <c r="G414">
        <v>78.897413180000001</v>
      </c>
      <c r="H414">
        <v>2</v>
      </c>
      <c r="I414" t="s">
        <v>14</v>
      </c>
      <c r="J414" t="s">
        <v>139</v>
      </c>
    </row>
    <row r="415" spans="1:10">
      <c r="A415">
        <v>478876</v>
      </c>
      <c r="B415" t="s">
        <v>151</v>
      </c>
      <c r="C415" t="s">
        <v>152</v>
      </c>
      <c r="D415" t="s">
        <v>138</v>
      </c>
      <c r="E415" t="s">
        <v>13</v>
      </c>
      <c r="F415">
        <v>11.648355240000001</v>
      </c>
      <c r="G415">
        <v>78.120208829999996</v>
      </c>
      <c r="H415">
        <v>2</v>
      </c>
      <c r="I415" t="s">
        <v>14</v>
      </c>
      <c r="J415" t="s">
        <v>139</v>
      </c>
    </row>
    <row r="416" spans="1:10">
      <c r="A416">
        <v>478875</v>
      </c>
      <c r="B416" t="s">
        <v>153</v>
      </c>
      <c r="C416" t="s">
        <v>154</v>
      </c>
      <c r="D416" t="s">
        <v>138</v>
      </c>
      <c r="E416" t="s">
        <v>13</v>
      </c>
      <c r="F416">
        <v>11.04548355</v>
      </c>
      <c r="G416">
        <v>76.985789749999995</v>
      </c>
      <c r="H416">
        <v>2</v>
      </c>
      <c r="I416" t="s">
        <v>14</v>
      </c>
      <c r="J416" t="s">
        <v>139</v>
      </c>
    </row>
    <row r="417" spans="1:10">
      <c r="A417">
        <v>478874</v>
      </c>
      <c r="B417" t="s">
        <v>155</v>
      </c>
      <c r="C417" t="s">
        <v>156</v>
      </c>
      <c r="D417" t="s">
        <v>138</v>
      </c>
      <c r="E417" t="s">
        <v>13</v>
      </c>
      <c r="F417">
        <v>10.740856770000001</v>
      </c>
      <c r="G417">
        <v>79.107558130000001</v>
      </c>
      <c r="H417">
        <v>2</v>
      </c>
      <c r="I417" t="s">
        <v>14</v>
      </c>
      <c r="J417" t="s">
        <v>139</v>
      </c>
    </row>
    <row r="418" spans="1:10">
      <c r="A418">
        <v>478873</v>
      </c>
      <c r="B418" t="s">
        <v>157</v>
      </c>
      <c r="C418" t="s">
        <v>158</v>
      </c>
      <c r="D418" t="s">
        <v>138</v>
      </c>
      <c r="E418" t="s">
        <v>13</v>
      </c>
      <c r="F418">
        <v>10.804353219999999</v>
      </c>
      <c r="G418">
        <v>78.677253219999997</v>
      </c>
      <c r="H418">
        <v>2</v>
      </c>
      <c r="I418" t="s">
        <v>14</v>
      </c>
      <c r="J418" t="s">
        <v>139</v>
      </c>
    </row>
    <row r="419" spans="1:10">
      <c r="A419">
        <v>478872</v>
      </c>
      <c r="B419" t="s">
        <v>159</v>
      </c>
      <c r="C419" t="s">
        <v>158</v>
      </c>
      <c r="D419" t="s">
        <v>138</v>
      </c>
      <c r="E419" t="s">
        <v>13</v>
      </c>
      <c r="F419">
        <v>10.791207399999999</v>
      </c>
      <c r="G419">
        <v>78.657784480000004</v>
      </c>
      <c r="H419">
        <v>2</v>
      </c>
      <c r="I419" t="s">
        <v>14</v>
      </c>
      <c r="J419" t="s">
        <v>139</v>
      </c>
    </row>
    <row r="420" spans="1:10">
      <c r="A420">
        <v>478871</v>
      </c>
      <c r="B420" t="s">
        <v>160</v>
      </c>
      <c r="C420" t="s">
        <v>161</v>
      </c>
      <c r="D420" t="s">
        <v>138</v>
      </c>
      <c r="E420" t="s">
        <v>13</v>
      </c>
      <c r="F420">
        <v>10.560668959999999</v>
      </c>
      <c r="G420">
        <v>78.321808419999996</v>
      </c>
      <c r="H420">
        <v>2</v>
      </c>
      <c r="I420" t="s">
        <v>14</v>
      </c>
      <c r="J420" t="s">
        <v>139</v>
      </c>
    </row>
    <row r="421" spans="1:10">
      <c r="A421">
        <v>478870</v>
      </c>
      <c r="B421" t="s">
        <v>162</v>
      </c>
      <c r="C421" t="s">
        <v>163</v>
      </c>
      <c r="D421" t="s">
        <v>138</v>
      </c>
      <c r="E421" t="s">
        <v>13</v>
      </c>
      <c r="F421">
        <v>10.070078410000001</v>
      </c>
      <c r="G421">
        <v>78.727504580000002</v>
      </c>
      <c r="H421">
        <v>2</v>
      </c>
      <c r="I421" t="s">
        <v>14</v>
      </c>
      <c r="J421" t="s">
        <v>139</v>
      </c>
    </row>
    <row r="422" spans="1:10">
      <c r="A422">
        <v>478869</v>
      </c>
      <c r="B422" t="s">
        <v>164</v>
      </c>
      <c r="C422" t="s">
        <v>165</v>
      </c>
      <c r="D422" t="s">
        <v>138</v>
      </c>
      <c r="E422" t="s">
        <v>13</v>
      </c>
      <c r="F422">
        <v>9.8171197289999999</v>
      </c>
      <c r="G422">
        <v>77.978341069999999</v>
      </c>
      <c r="H422">
        <v>2</v>
      </c>
      <c r="I422" t="s">
        <v>14</v>
      </c>
      <c r="J422" t="s">
        <v>139</v>
      </c>
    </row>
    <row r="423" spans="1:10">
      <c r="A423">
        <v>478868</v>
      </c>
      <c r="B423" t="s">
        <v>166</v>
      </c>
      <c r="C423" t="s">
        <v>167</v>
      </c>
      <c r="D423" t="s">
        <v>138</v>
      </c>
      <c r="E423" t="s">
        <v>13</v>
      </c>
      <c r="F423">
        <v>9.3000035380000003</v>
      </c>
      <c r="G423">
        <v>77.915658109999995</v>
      </c>
      <c r="H423">
        <v>2</v>
      </c>
      <c r="I423" t="s">
        <v>14</v>
      </c>
      <c r="J423" t="s">
        <v>139</v>
      </c>
    </row>
    <row r="424" spans="1:10">
      <c r="A424">
        <v>478867</v>
      </c>
      <c r="B424" t="s">
        <v>168</v>
      </c>
      <c r="C424" t="s">
        <v>169</v>
      </c>
      <c r="D424" t="s">
        <v>70</v>
      </c>
      <c r="E424" t="s">
        <v>13</v>
      </c>
      <c r="F424">
        <v>10.502420239999999</v>
      </c>
      <c r="G424">
        <v>76.257982260000006</v>
      </c>
      <c r="H424">
        <v>2</v>
      </c>
      <c r="I424" t="s">
        <v>14</v>
      </c>
      <c r="J424" t="s">
        <v>139</v>
      </c>
    </row>
    <row r="425" spans="1:10">
      <c r="A425">
        <v>478866</v>
      </c>
      <c r="B425" t="s">
        <v>170</v>
      </c>
      <c r="C425" t="s">
        <v>171</v>
      </c>
      <c r="D425" t="s">
        <v>70</v>
      </c>
      <c r="E425" t="s">
        <v>13</v>
      </c>
      <c r="F425">
        <v>12.25915661</v>
      </c>
      <c r="G425">
        <v>75.150529879999993</v>
      </c>
      <c r="H425">
        <v>5</v>
      </c>
      <c r="I425" t="s">
        <v>14</v>
      </c>
      <c r="J425" t="s">
        <v>139</v>
      </c>
    </row>
    <row r="426" spans="1:10">
      <c r="A426">
        <v>478865</v>
      </c>
      <c r="B426" t="s">
        <v>172</v>
      </c>
      <c r="C426" t="s">
        <v>173</v>
      </c>
      <c r="D426" t="s">
        <v>138</v>
      </c>
      <c r="E426" t="s">
        <v>13</v>
      </c>
      <c r="F426">
        <v>8.5402511350000001</v>
      </c>
      <c r="G426">
        <v>77.669517099999993</v>
      </c>
      <c r="H426">
        <v>2</v>
      </c>
      <c r="I426" t="s">
        <v>14</v>
      </c>
      <c r="J426" t="s">
        <v>174</v>
      </c>
    </row>
    <row r="427" spans="1:10">
      <c r="A427">
        <v>478864</v>
      </c>
      <c r="B427" t="s">
        <v>175</v>
      </c>
      <c r="C427" t="s">
        <v>176</v>
      </c>
      <c r="D427" t="s">
        <v>138</v>
      </c>
      <c r="E427" t="s">
        <v>13</v>
      </c>
      <c r="F427">
        <v>10.71722243</v>
      </c>
      <c r="G427">
        <v>77.556213799999995</v>
      </c>
      <c r="H427">
        <v>2</v>
      </c>
      <c r="I427" t="s">
        <v>14</v>
      </c>
      <c r="J427" t="s">
        <v>174</v>
      </c>
    </row>
    <row r="428" spans="1:10">
      <c r="A428">
        <v>478863</v>
      </c>
      <c r="B428" t="s">
        <v>175</v>
      </c>
      <c r="C428" t="s">
        <v>177</v>
      </c>
      <c r="D428" t="s">
        <v>138</v>
      </c>
      <c r="E428" t="s">
        <v>13</v>
      </c>
      <c r="F428">
        <v>10.996757799999999</v>
      </c>
      <c r="G428">
        <v>77.00865211</v>
      </c>
      <c r="H428">
        <v>2</v>
      </c>
      <c r="I428" t="s">
        <v>14</v>
      </c>
      <c r="J428" t="s">
        <v>174</v>
      </c>
    </row>
    <row r="429" spans="1:10">
      <c r="A429">
        <v>478862</v>
      </c>
      <c r="B429" t="s">
        <v>178</v>
      </c>
      <c r="C429" t="s">
        <v>154</v>
      </c>
      <c r="D429" t="s">
        <v>138</v>
      </c>
      <c r="E429" t="s">
        <v>13</v>
      </c>
      <c r="F429">
        <v>11.052857749999999</v>
      </c>
      <c r="G429">
        <v>76.945836839999998</v>
      </c>
      <c r="H429">
        <v>1</v>
      </c>
      <c r="I429" t="s">
        <v>14</v>
      </c>
      <c r="J429" t="s">
        <v>174</v>
      </c>
    </row>
    <row r="430" spans="1:10">
      <c r="A430">
        <v>478861</v>
      </c>
      <c r="B430" t="s">
        <v>175</v>
      </c>
      <c r="C430" t="s">
        <v>179</v>
      </c>
      <c r="D430" t="s">
        <v>138</v>
      </c>
      <c r="E430" t="s">
        <v>13</v>
      </c>
      <c r="F430">
        <v>11.31864953</v>
      </c>
      <c r="G430">
        <v>76.920808730000005</v>
      </c>
      <c r="H430">
        <v>1</v>
      </c>
      <c r="I430" t="s">
        <v>14</v>
      </c>
      <c r="J430" t="s">
        <v>174</v>
      </c>
    </row>
    <row r="431" spans="1:10">
      <c r="A431">
        <v>478860</v>
      </c>
      <c r="B431" t="s">
        <v>180</v>
      </c>
      <c r="C431" t="s">
        <v>181</v>
      </c>
      <c r="D431" t="s">
        <v>70</v>
      </c>
      <c r="E431" t="s">
        <v>13</v>
      </c>
      <c r="F431">
        <v>9.9104712859999999</v>
      </c>
      <c r="G431">
        <v>76.364463839999999</v>
      </c>
      <c r="H431">
        <v>1</v>
      </c>
      <c r="I431" t="s">
        <v>14</v>
      </c>
      <c r="J431" t="s">
        <v>174</v>
      </c>
    </row>
    <row r="432" spans="1:10">
      <c r="A432">
        <v>478859</v>
      </c>
      <c r="B432" t="s">
        <v>182</v>
      </c>
      <c r="C432" t="s">
        <v>183</v>
      </c>
      <c r="D432" t="s">
        <v>70</v>
      </c>
      <c r="E432" t="s">
        <v>13</v>
      </c>
      <c r="F432">
        <v>9.9331916210000006</v>
      </c>
      <c r="G432">
        <v>76.300049450000003</v>
      </c>
      <c r="H432">
        <v>1</v>
      </c>
      <c r="I432" t="s">
        <v>14</v>
      </c>
      <c r="J432" t="s">
        <v>174</v>
      </c>
    </row>
    <row r="433" spans="1:10">
      <c r="A433">
        <v>478858</v>
      </c>
      <c r="B433" t="s">
        <v>184</v>
      </c>
      <c r="C433" t="s">
        <v>185</v>
      </c>
      <c r="D433" t="s">
        <v>70</v>
      </c>
      <c r="E433" t="s">
        <v>13</v>
      </c>
      <c r="F433">
        <v>9.6192443559999994</v>
      </c>
      <c r="G433">
        <v>76.372185819999999</v>
      </c>
      <c r="H433">
        <v>2</v>
      </c>
      <c r="I433" t="s">
        <v>41</v>
      </c>
      <c r="J433" t="s">
        <v>174</v>
      </c>
    </row>
    <row r="434" spans="1:10">
      <c r="A434">
        <v>478857</v>
      </c>
      <c r="B434" t="s">
        <v>186</v>
      </c>
      <c r="C434" t="s">
        <v>187</v>
      </c>
      <c r="D434" t="s">
        <v>70</v>
      </c>
      <c r="E434" t="s">
        <v>13</v>
      </c>
      <c r="F434">
        <v>8.4947167140000008</v>
      </c>
      <c r="G434">
        <v>76.952310179999998</v>
      </c>
      <c r="H434">
        <v>1</v>
      </c>
      <c r="I434" t="s">
        <v>41</v>
      </c>
      <c r="J434" t="s">
        <v>174</v>
      </c>
    </row>
    <row r="435" spans="1:10">
      <c r="A435">
        <v>478856</v>
      </c>
      <c r="B435" t="s">
        <v>188</v>
      </c>
      <c r="C435" t="s">
        <v>12</v>
      </c>
      <c r="D435" t="s">
        <v>70</v>
      </c>
      <c r="E435" t="s">
        <v>13</v>
      </c>
      <c r="F435">
        <v>8.4932840289999998</v>
      </c>
      <c r="G435">
        <v>76.9573161</v>
      </c>
      <c r="H435">
        <v>1</v>
      </c>
      <c r="I435" t="s">
        <v>41</v>
      </c>
      <c r="J435" t="s">
        <v>174</v>
      </c>
    </row>
    <row r="436" spans="1:10">
      <c r="A436">
        <v>478855</v>
      </c>
      <c r="B436" t="s">
        <v>189</v>
      </c>
      <c r="C436" t="s">
        <v>190</v>
      </c>
      <c r="D436" t="s">
        <v>138</v>
      </c>
      <c r="E436" t="s">
        <v>13</v>
      </c>
      <c r="F436">
        <v>8.1945029070000004</v>
      </c>
      <c r="G436">
        <v>77.394416359999994</v>
      </c>
      <c r="H436">
        <v>2</v>
      </c>
      <c r="I436" t="s">
        <v>14</v>
      </c>
      <c r="J436" t="s">
        <v>174</v>
      </c>
    </row>
    <row r="437" spans="1:10">
      <c r="A437">
        <v>478854</v>
      </c>
      <c r="B437" t="s">
        <v>191</v>
      </c>
      <c r="C437" t="s">
        <v>192</v>
      </c>
      <c r="D437" t="s">
        <v>70</v>
      </c>
      <c r="E437" t="s">
        <v>13</v>
      </c>
      <c r="F437">
        <v>10.66622295</v>
      </c>
      <c r="G437">
        <v>76.113443989999993</v>
      </c>
      <c r="H437">
        <v>2</v>
      </c>
      <c r="I437" t="s">
        <v>14</v>
      </c>
      <c r="J437" t="s">
        <v>174</v>
      </c>
    </row>
    <row r="438" spans="1:10">
      <c r="A438">
        <v>478520</v>
      </c>
      <c r="B438" t="s">
        <v>193</v>
      </c>
      <c r="C438" t="s">
        <v>12</v>
      </c>
      <c r="D438" t="s">
        <v>17</v>
      </c>
      <c r="E438" t="s">
        <v>13</v>
      </c>
      <c r="F438">
        <v>16.814493840000001</v>
      </c>
      <c r="G438">
        <v>78.148328539999994</v>
      </c>
      <c r="H438">
        <v>2</v>
      </c>
      <c r="I438" t="s">
        <v>14</v>
      </c>
      <c r="J438" t="s">
        <v>139</v>
      </c>
    </row>
    <row r="439" spans="1:10">
      <c r="A439">
        <v>478519</v>
      </c>
      <c r="B439" t="s">
        <v>194</v>
      </c>
      <c r="C439" t="s">
        <v>12</v>
      </c>
      <c r="D439" t="s">
        <v>17</v>
      </c>
      <c r="E439" t="s">
        <v>13</v>
      </c>
      <c r="F439">
        <v>16.81475507</v>
      </c>
      <c r="G439">
        <v>78.148400229999993</v>
      </c>
      <c r="H439">
        <v>2</v>
      </c>
      <c r="I439" t="s">
        <v>14</v>
      </c>
      <c r="J439" t="s">
        <v>195</v>
      </c>
    </row>
    <row r="440" spans="1:10">
      <c r="A440">
        <v>478491</v>
      </c>
      <c r="B440" t="s">
        <v>196</v>
      </c>
      <c r="C440" t="s">
        <v>197</v>
      </c>
      <c r="D440" t="s">
        <v>70</v>
      </c>
      <c r="E440" t="s">
        <v>13</v>
      </c>
      <c r="F440">
        <v>11.268432389999999</v>
      </c>
      <c r="G440">
        <v>75.831155969999998</v>
      </c>
      <c r="H440">
        <v>2</v>
      </c>
      <c r="I440" t="s">
        <v>14</v>
      </c>
      <c r="J440" t="s">
        <v>198</v>
      </c>
    </row>
    <row r="441" spans="1:10">
      <c r="A441">
        <v>477284</v>
      </c>
      <c r="B441" t="s">
        <v>199</v>
      </c>
      <c r="C441" t="s">
        <v>12</v>
      </c>
      <c r="D441" t="s">
        <v>200</v>
      </c>
      <c r="E441" t="s">
        <v>13</v>
      </c>
      <c r="F441">
        <v>27.735562569999999</v>
      </c>
      <c r="G441">
        <v>76.983877109999995</v>
      </c>
      <c r="H441">
        <v>2</v>
      </c>
      <c r="I441" t="s">
        <v>14</v>
      </c>
      <c r="J441" t="s">
        <v>201</v>
      </c>
    </row>
    <row r="442" spans="1:10">
      <c r="A442">
        <v>475941</v>
      </c>
      <c r="B442" t="s">
        <v>202</v>
      </c>
      <c r="C442" t="s">
        <v>12</v>
      </c>
      <c r="D442" t="s">
        <v>203</v>
      </c>
      <c r="E442" t="s">
        <v>13</v>
      </c>
      <c r="F442">
        <v>26.83003059</v>
      </c>
      <c r="G442">
        <v>75.571203440000005</v>
      </c>
      <c r="H442">
        <v>4</v>
      </c>
      <c r="I442" t="s">
        <v>14</v>
      </c>
      <c r="J442" t="s">
        <v>201</v>
      </c>
    </row>
    <row r="443" spans="1:10">
      <c r="A443">
        <v>475886</v>
      </c>
      <c r="B443" t="s">
        <v>204</v>
      </c>
      <c r="C443" t="s">
        <v>205</v>
      </c>
      <c r="D443" t="s">
        <v>206</v>
      </c>
      <c r="E443" t="s">
        <v>13</v>
      </c>
      <c r="F443">
        <v>26.63638297</v>
      </c>
      <c r="G443">
        <v>75.102217330000002</v>
      </c>
      <c r="H443">
        <v>2</v>
      </c>
      <c r="I443" t="s">
        <v>14</v>
      </c>
      <c r="J443" t="s">
        <v>207</v>
      </c>
    </row>
    <row r="444" spans="1:10">
      <c r="A444">
        <v>475875</v>
      </c>
      <c r="B444" t="s">
        <v>208</v>
      </c>
      <c r="C444" t="s">
        <v>209</v>
      </c>
      <c r="D444" t="s">
        <v>203</v>
      </c>
      <c r="E444" t="s">
        <v>13</v>
      </c>
      <c r="F444">
        <v>27.562552019999998</v>
      </c>
      <c r="G444">
        <v>76.075089059999996</v>
      </c>
      <c r="H444">
        <v>2</v>
      </c>
      <c r="I444" t="s">
        <v>14</v>
      </c>
      <c r="J444" t="s">
        <v>210</v>
      </c>
    </row>
    <row r="445" spans="1:10">
      <c r="A445">
        <v>475874</v>
      </c>
      <c r="B445" t="s">
        <v>208</v>
      </c>
      <c r="C445" t="s">
        <v>209</v>
      </c>
      <c r="D445" t="s">
        <v>203</v>
      </c>
      <c r="E445" t="s">
        <v>13</v>
      </c>
      <c r="F445">
        <v>27.562552019999998</v>
      </c>
      <c r="G445">
        <v>76.075089059999996</v>
      </c>
      <c r="H445">
        <v>2</v>
      </c>
      <c r="I445" t="s">
        <v>14</v>
      </c>
      <c r="J445" t="s">
        <v>211</v>
      </c>
    </row>
    <row r="446" spans="1:10">
      <c r="A446">
        <v>475873</v>
      </c>
      <c r="B446" t="s">
        <v>212</v>
      </c>
      <c r="C446" t="s">
        <v>209</v>
      </c>
      <c r="D446" t="s">
        <v>203</v>
      </c>
      <c r="E446" t="s">
        <v>13</v>
      </c>
      <c r="F446">
        <v>27.562407319999998</v>
      </c>
      <c r="G446">
        <v>76.074978009999995</v>
      </c>
      <c r="H446">
        <v>4</v>
      </c>
      <c r="I446" t="s">
        <v>14</v>
      </c>
      <c r="J446" t="s">
        <v>213</v>
      </c>
    </row>
    <row r="447" spans="1:10">
      <c r="A447">
        <v>475680</v>
      </c>
      <c r="B447" t="s">
        <v>214</v>
      </c>
      <c r="C447" t="s">
        <v>215</v>
      </c>
      <c r="D447" t="s">
        <v>216</v>
      </c>
      <c r="E447" t="s">
        <v>13</v>
      </c>
      <c r="F447">
        <v>17.63735819</v>
      </c>
      <c r="G447">
        <v>74.012178070000004</v>
      </c>
      <c r="H447">
        <v>1</v>
      </c>
      <c r="I447" t="s">
        <v>14</v>
      </c>
      <c r="J447" t="s">
        <v>139</v>
      </c>
    </row>
    <row r="448" spans="1:10">
      <c r="A448">
        <v>475673</v>
      </c>
      <c r="B448" t="s">
        <v>217</v>
      </c>
      <c r="C448" t="s">
        <v>218</v>
      </c>
      <c r="D448" t="s">
        <v>219</v>
      </c>
      <c r="E448" t="s">
        <v>13</v>
      </c>
      <c r="F448">
        <v>20.380110259999999</v>
      </c>
      <c r="G448">
        <v>72.914454879999994</v>
      </c>
      <c r="H448">
        <v>2</v>
      </c>
      <c r="I448" t="s">
        <v>14</v>
      </c>
      <c r="J448" t="s">
        <v>139</v>
      </c>
    </row>
    <row r="449" spans="1:10">
      <c r="A449">
        <v>475671</v>
      </c>
      <c r="B449" t="s">
        <v>220</v>
      </c>
      <c r="C449" t="s">
        <v>221</v>
      </c>
      <c r="D449" t="s">
        <v>222</v>
      </c>
      <c r="E449" t="s">
        <v>13</v>
      </c>
      <c r="F449">
        <v>32.214505389999999</v>
      </c>
      <c r="G449">
        <v>76.316939629999993</v>
      </c>
      <c r="H449">
        <v>2</v>
      </c>
      <c r="I449" t="s">
        <v>14</v>
      </c>
      <c r="J449" t="s">
        <v>223</v>
      </c>
    </row>
    <row r="450" spans="1:10">
      <c r="A450">
        <v>475660</v>
      </c>
      <c r="B450" t="s">
        <v>224</v>
      </c>
      <c r="C450" t="s">
        <v>12</v>
      </c>
      <c r="D450" t="s">
        <v>225</v>
      </c>
      <c r="E450" t="s">
        <v>13</v>
      </c>
      <c r="F450">
        <v>26.336942459999999</v>
      </c>
      <c r="G450">
        <v>79.370072550000003</v>
      </c>
      <c r="H450">
        <v>7</v>
      </c>
      <c r="I450" t="s">
        <v>14</v>
      </c>
      <c r="J450" t="s">
        <v>207</v>
      </c>
    </row>
    <row r="451" spans="1:10">
      <c r="A451">
        <v>475659</v>
      </c>
      <c r="B451" t="s">
        <v>226</v>
      </c>
      <c r="C451" t="s">
        <v>12</v>
      </c>
      <c r="D451" t="s">
        <v>225</v>
      </c>
      <c r="E451" t="s">
        <v>13</v>
      </c>
      <c r="F451">
        <v>25.252444560000001</v>
      </c>
      <c r="G451">
        <v>80.743644189999998</v>
      </c>
      <c r="H451">
        <v>6</v>
      </c>
      <c r="I451" t="s">
        <v>14</v>
      </c>
      <c r="J451" t="s">
        <v>207</v>
      </c>
    </row>
    <row r="452" spans="1:10">
      <c r="A452">
        <v>475550</v>
      </c>
      <c r="B452" t="s">
        <v>227</v>
      </c>
      <c r="C452" t="s">
        <v>228</v>
      </c>
      <c r="D452" t="s">
        <v>17</v>
      </c>
      <c r="E452" t="s">
        <v>13</v>
      </c>
      <c r="F452">
        <v>18.822907709999999</v>
      </c>
      <c r="G452">
        <v>78.321722679999993</v>
      </c>
      <c r="H452">
        <v>2</v>
      </c>
      <c r="I452" t="s">
        <v>14</v>
      </c>
      <c r="J452" t="s">
        <v>195</v>
      </c>
    </row>
    <row r="453" spans="1:10">
      <c r="A453">
        <v>475512</v>
      </c>
      <c r="B453" t="s">
        <v>229</v>
      </c>
      <c r="C453" t="s">
        <v>12</v>
      </c>
      <c r="D453" t="s">
        <v>17</v>
      </c>
      <c r="E453" t="s">
        <v>13</v>
      </c>
      <c r="F453">
        <v>15.88633415</v>
      </c>
      <c r="G453">
        <v>78.016366390000002</v>
      </c>
      <c r="H453">
        <v>6</v>
      </c>
      <c r="I453" t="s">
        <v>14</v>
      </c>
      <c r="J453" t="s">
        <v>139</v>
      </c>
    </row>
    <row r="454" spans="1:10">
      <c r="A454">
        <v>475401</v>
      </c>
      <c r="B454" t="s">
        <v>230</v>
      </c>
      <c r="C454" t="s">
        <v>231</v>
      </c>
      <c r="D454" t="s">
        <v>232</v>
      </c>
      <c r="E454" t="s">
        <v>13</v>
      </c>
      <c r="F454">
        <v>17.22435243</v>
      </c>
      <c r="G454">
        <v>74.180164730000001</v>
      </c>
      <c r="H454">
        <v>2</v>
      </c>
      <c r="I454" t="s">
        <v>14</v>
      </c>
      <c r="J454" t="s">
        <v>198</v>
      </c>
    </row>
    <row r="455" spans="1:10">
      <c r="A455">
        <v>475337</v>
      </c>
      <c r="B455" t="s">
        <v>233</v>
      </c>
      <c r="C455" t="s">
        <v>12</v>
      </c>
      <c r="D455" t="s">
        <v>203</v>
      </c>
      <c r="E455" t="s">
        <v>13</v>
      </c>
      <c r="F455">
        <v>24.891418349999999</v>
      </c>
      <c r="G455">
        <v>75.964821130000004</v>
      </c>
      <c r="H455">
        <v>2</v>
      </c>
      <c r="I455" t="s">
        <v>14</v>
      </c>
      <c r="J455" t="s">
        <v>223</v>
      </c>
    </row>
    <row r="456" spans="1:10">
      <c r="A456">
        <v>474598</v>
      </c>
      <c r="B456" t="s">
        <v>234</v>
      </c>
      <c r="C456" t="s">
        <v>235</v>
      </c>
      <c r="D456" t="s">
        <v>70</v>
      </c>
      <c r="E456" t="s">
        <v>13</v>
      </c>
      <c r="F456">
        <v>12.10566047</v>
      </c>
      <c r="G456">
        <v>75.211734320000005</v>
      </c>
      <c r="H456">
        <v>2</v>
      </c>
      <c r="I456" t="s">
        <v>14</v>
      </c>
      <c r="J456" t="s">
        <v>174</v>
      </c>
    </row>
    <row r="457" spans="1:10">
      <c r="A457">
        <v>474596</v>
      </c>
      <c r="B457" t="s">
        <v>236</v>
      </c>
      <c r="C457" t="s">
        <v>237</v>
      </c>
      <c r="D457" t="s">
        <v>70</v>
      </c>
      <c r="E457" t="s">
        <v>13</v>
      </c>
      <c r="F457">
        <v>12.149897989999999</v>
      </c>
      <c r="G457">
        <v>75.212636639999999</v>
      </c>
      <c r="H457">
        <v>1</v>
      </c>
      <c r="I457" t="s">
        <v>14</v>
      </c>
      <c r="J457" t="s">
        <v>174</v>
      </c>
    </row>
    <row r="458" spans="1:10">
      <c r="A458">
        <v>474595</v>
      </c>
      <c r="B458" t="s">
        <v>238</v>
      </c>
      <c r="C458" t="s">
        <v>239</v>
      </c>
      <c r="D458" t="s">
        <v>70</v>
      </c>
      <c r="E458" t="s">
        <v>13</v>
      </c>
      <c r="F458">
        <v>12.048654640000001</v>
      </c>
      <c r="G458">
        <v>75.346280059999998</v>
      </c>
      <c r="H458">
        <v>2</v>
      </c>
      <c r="I458" t="s">
        <v>14</v>
      </c>
      <c r="J458" t="s">
        <v>174</v>
      </c>
    </row>
    <row r="459" spans="1:10">
      <c r="A459">
        <v>474594</v>
      </c>
      <c r="B459" t="s">
        <v>240</v>
      </c>
      <c r="C459" t="s">
        <v>241</v>
      </c>
      <c r="D459" t="s">
        <v>70</v>
      </c>
      <c r="E459" t="s">
        <v>13</v>
      </c>
      <c r="F459">
        <v>11.91670442</v>
      </c>
      <c r="G459">
        <v>75.358304430000004</v>
      </c>
      <c r="H459">
        <v>1</v>
      </c>
      <c r="I459" t="s">
        <v>14</v>
      </c>
      <c r="J459" t="s">
        <v>174</v>
      </c>
    </row>
    <row r="460" spans="1:10">
      <c r="A460">
        <v>474593</v>
      </c>
      <c r="B460" t="s">
        <v>242</v>
      </c>
      <c r="C460" t="s">
        <v>243</v>
      </c>
      <c r="D460" t="s">
        <v>70</v>
      </c>
      <c r="E460" t="s">
        <v>13</v>
      </c>
      <c r="F460">
        <v>11.7257471</v>
      </c>
      <c r="G460">
        <v>76.077673369999999</v>
      </c>
      <c r="H460">
        <v>2</v>
      </c>
      <c r="I460" t="s">
        <v>14</v>
      </c>
      <c r="J460" t="s">
        <v>174</v>
      </c>
    </row>
    <row r="461" spans="1:10">
      <c r="A461">
        <v>474592</v>
      </c>
      <c r="B461" t="s">
        <v>244</v>
      </c>
      <c r="C461" t="s">
        <v>245</v>
      </c>
      <c r="D461" t="s">
        <v>70</v>
      </c>
      <c r="E461" t="s">
        <v>13</v>
      </c>
      <c r="F461">
        <v>11.66781267</v>
      </c>
      <c r="G461">
        <v>76.079469970000005</v>
      </c>
      <c r="H461">
        <v>1</v>
      </c>
      <c r="I461" t="s">
        <v>14</v>
      </c>
      <c r="J461" t="s">
        <v>174</v>
      </c>
    </row>
    <row r="462" spans="1:10">
      <c r="A462">
        <v>474589</v>
      </c>
      <c r="B462" t="s">
        <v>246</v>
      </c>
      <c r="C462" t="s">
        <v>247</v>
      </c>
      <c r="D462" t="s">
        <v>70</v>
      </c>
      <c r="E462" t="s">
        <v>13</v>
      </c>
      <c r="F462">
        <v>11.446514860000001</v>
      </c>
      <c r="G462">
        <v>75.772620219999993</v>
      </c>
      <c r="H462">
        <v>1</v>
      </c>
      <c r="I462" t="s">
        <v>14</v>
      </c>
      <c r="J462" t="s">
        <v>174</v>
      </c>
    </row>
    <row r="463" spans="1:10">
      <c r="A463">
        <v>474587</v>
      </c>
      <c r="B463" t="s">
        <v>248</v>
      </c>
      <c r="C463" t="s">
        <v>249</v>
      </c>
      <c r="D463" t="s">
        <v>12</v>
      </c>
      <c r="E463" t="s">
        <v>13</v>
      </c>
      <c r="F463">
        <v>11.382129900000001</v>
      </c>
      <c r="G463">
        <v>75.736611859999996</v>
      </c>
      <c r="H463">
        <v>1</v>
      </c>
      <c r="I463" t="s">
        <v>14</v>
      </c>
      <c r="J463" t="s">
        <v>174</v>
      </c>
    </row>
    <row r="464" spans="1:10">
      <c r="A464">
        <v>474585</v>
      </c>
      <c r="B464" t="s">
        <v>250</v>
      </c>
      <c r="C464" t="s">
        <v>251</v>
      </c>
      <c r="D464" t="s">
        <v>70</v>
      </c>
      <c r="E464" t="s">
        <v>13</v>
      </c>
      <c r="F464">
        <v>11.364746009999999</v>
      </c>
      <c r="G464">
        <v>75.739449930000006</v>
      </c>
      <c r="H464">
        <v>2</v>
      </c>
      <c r="I464" t="s">
        <v>14</v>
      </c>
      <c r="J464" t="s">
        <v>174</v>
      </c>
    </row>
    <row r="465" spans="1:10">
      <c r="A465">
        <v>474584</v>
      </c>
      <c r="B465" t="s">
        <v>252</v>
      </c>
      <c r="C465" t="s">
        <v>197</v>
      </c>
      <c r="D465" t="s">
        <v>70</v>
      </c>
      <c r="E465" t="s">
        <v>13</v>
      </c>
      <c r="F465">
        <v>11.30428543</v>
      </c>
      <c r="G465">
        <v>75.759578919999996</v>
      </c>
      <c r="H465">
        <v>1</v>
      </c>
      <c r="I465" t="s">
        <v>14</v>
      </c>
      <c r="J465" t="s">
        <v>174</v>
      </c>
    </row>
    <row r="466" spans="1:10">
      <c r="A466">
        <v>474582</v>
      </c>
      <c r="B466" t="s">
        <v>253</v>
      </c>
      <c r="C466" t="s">
        <v>197</v>
      </c>
      <c r="D466" t="s">
        <v>70</v>
      </c>
      <c r="E466" t="s">
        <v>13</v>
      </c>
      <c r="F466">
        <v>11.25784125</v>
      </c>
      <c r="G466">
        <v>75.810187920000004</v>
      </c>
      <c r="H466">
        <v>2</v>
      </c>
      <c r="I466" t="s">
        <v>14</v>
      </c>
      <c r="J466" t="s">
        <v>174</v>
      </c>
    </row>
    <row r="467" spans="1:10">
      <c r="A467">
        <v>474580</v>
      </c>
      <c r="B467" t="s">
        <v>254</v>
      </c>
      <c r="C467" t="s">
        <v>255</v>
      </c>
      <c r="D467" t="s">
        <v>70</v>
      </c>
      <c r="E467" t="s">
        <v>13</v>
      </c>
      <c r="F467">
        <v>11.23535468</v>
      </c>
      <c r="G467">
        <v>75.8456683</v>
      </c>
      <c r="H467">
        <v>2</v>
      </c>
      <c r="I467" t="s">
        <v>14</v>
      </c>
      <c r="J467" t="s">
        <v>174</v>
      </c>
    </row>
    <row r="468" spans="1:10">
      <c r="A468">
        <v>474578</v>
      </c>
      <c r="B468" t="s">
        <v>256</v>
      </c>
      <c r="C468" t="s">
        <v>257</v>
      </c>
      <c r="D468" t="s">
        <v>70</v>
      </c>
      <c r="E468" t="s">
        <v>13</v>
      </c>
      <c r="F468">
        <v>11.16434134</v>
      </c>
      <c r="G468">
        <v>75.964007370000004</v>
      </c>
      <c r="H468">
        <v>2</v>
      </c>
      <c r="I468" t="s">
        <v>14</v>
      </c>
      <c r="J468" t="s">
        <v>174</v>
      </c>
    </row>
    <row r="469" spans="1:10">
      <c r="A469">
        <v>474576</v>
      </c>
      <c r="B469" t="s">
        <v>258</v>
      </c>
      <c r="C469" t="s">
        <v>259</v>
      </c>
      <c r="D469" t="s">
        <v>70</v>
      </c>
      <c r="E469" t="s">
        <v>13</v>
      </c>
      <c r="F469">
        <v>10.97774961</v>
      </c>
      <c r="G469">
        <v>76.242862889999998</v>
      </c>
      <c r="H469">
        <v>2</v>
      </c>
      <c r="I469" t="s">
        <v>14</v>
      </c>
      <c r="J469" t="s">
        <v>174</v>
      </c>
    </row>
    <row r="470" spans="1:10">
      <c r="A470">
        <v>474575</v>
      </c>
      <c r="B470" t="s">
        <v>260</v>
      </c>
      <c r="C470" t="s">
        <v>261</v>
      </c>
      <c r="D470" t="s">
        <v>70</v>
      </c>
      <c r="E470" t="s">
        <v>13</v>
      </c>
      <c r="F470">
        <v>10.950358140000001</v>
      </c>
      <c r="G470">
        <v>76.163236710000007</v>
      </c>
      <c r="H470">
        <v>1</v>
      </c>
      <c r="I470" t="s">
        <v>14</v>
      </c>
      <c r="J470" t="s">
        <v>174</v>
      </c>
    </row>
    <row r="471" spans="1:10">
      <c r="A471">
        <v>474574</v>
      </c>
      <c r="B471" t="s">
        <v>262</v>
      </c>
      <c r="C471" t="s">
        <v>117</v>
      </c>
      <c r="D471" t="s">
        <v>70</v>
      </c>
      <c r="E471" t="s">
        <v>13</v>
      </c>
      <c r="F471">
        <v>10.886313619999999</v>
      </c>
      <c r="G471">
        <v>75.930574329999999</v>
      </c>
      <c r="H471">
        <v>1</v>
      </c>
      <c r="I471" t="s">
        <v>14</v>
      </c>
      <c r="J471" t="s">
        <v>174</v>
      </c>
    </row>
    <row r="472" spans="1:10">
      <c r="A472">
        <v>474573</v>
      </c>
      <c r="B472" t="s">
        <v>263</v>
      </c>
      <c r="C472" t="s">
        <v>264</v>
      </c>
      <c r="D472" t="s">
        <v>70</v>
      </c>
      <c r="E472" t="s">
        <v>13</v>
      </c>
      <c r="F472">
        <v>10.764893860000001</v>
      </c>
      <c r="G472">
        <v>76.651994279999997</v>
      </c>
      <c r="H472">
        <v>1</v>
      </c>
      <c r="I472" t="s">
        <v>14</v>
      </c>
      <c r="J472" t="s">
        <v>174</v>
      </c>
    </row>
    <row r="473" spans="1:10">
      <c r="A473">
        <v>474571</v>
      </c>
      <c r="B473" t="s">
        <v>265</v>
      </c>
      <c r="C473" t="s">
        <v>266</v>
      </c>
      <c r="D473" t="s">
        <v>70</v>
      </c>
      <c r="E473" t="s">
        <v>13</v>
      </c>
      <c r="F473">
        <v>10.796990859999999</v>
      </c>
      <c r="G473">
        <v>76.764409259999994</v>
      </c>
      <c r="H473">
        <v>2</v>
      </c>
      <c r="I473" t="s">
        <v>14</v>
      </c>
      <c r="J473" t="s">
        <v>174</v>
      </c>
    </row>
    <row r="474" spans="1:10">
      <c r="A474">
        <v>474570</v>
      </c>
      <c r="B474" t="s">
        <v>267</v>
      </c>
      <c r="C474" t="s">
        <v>268</v>
      </c>
      <c r="D474" t="s">
        <v>70</v>
      </c>
      <c r="E474" t="s">
        <v>13</v>
      </c>
      <c r="F474">
        <v>10.777715300000001</v>
      </c>
      <c r="G474">
        <v>76.341227700000005</v>
      </c>
      <c r="H474">
        <v>2</v>
      </c>
      <c r="I474" t="s">
        <v>14</v>
      </c>
      <c r="J474" t="s">
        <v>174</v>
      </c>
    </row>
    <row r="475" spans="1:10">
      <c r="A475">
        <v>474568</v>
      </c>
      <c r="B475" t="s">
        <v>269</v>
      </c>
      <c r="C475" t="s">
        <v>270</v>
      </c>
      <c r="D475" t="s">
        <v>70</v>
      </c>
      <c r="E475" t="s">
        <v>13</v>
      </c>
      <c r="F475">
        <v>10.70522046</v>
      </c>
      <c r="G475">
        <v>76.089267599999999</v>
      </c>
      <c r="H475">
        <v>2</v>
      </c>
      <c r="I475" t="s">
        <v>14</v>
      </c>
      <c r="J475" t="s">
        <v>174</v>
      </c>
    </row>
    <row r="476" spans="1:10">
      <c r="A476">
        <v>474567</v>
      </c>
      <c r="B476" t="s">
        <v>271</v>
      </c>
      <c r="C476" t="s">
        <v>272</v>
      </c>
      <c r="D476" t="s">
        <v>70</v>
      </c>
      <c r="E476" t="s">
        <v>13</v>
      </c>
      <c r="F476">
        <v>10.521423220000001</v>
      </c>
      <c r="G476">
        <v>76.051279010000002</v>
      </c>
      <c r="H476">
        <v>2</v>
      </c>
      <c r="I476" t="s">
        <v>14</v>
      </c>
      <c r="J476" t="s">
        <v>174</v>
      </c>
    </row>
    <row r="477" spans="1:10">
      <c r="A477">
        <v>474565</v>
      </c>
      <c r="B477" t="s">
        <v>273</v>
      </c>
      <c r="C477" t="s">
        <v>274</v>
      </c>
      <c r="D477" t="s">
        <v>70</v>
      </c>
      <c r="E477" t="s">
        <v>13</v>
      </c>
      <c r="F477">
        <v>10.416437869999999</v>
      </c>
      <c r="G477">
        <v>76.153674789999997</v>
      </c>
      <c r="H477">
        <v>1</v>
      </c>
      <c r="I477" t="s">
        <v>14</v>
      </c>
      <c r="J477" t="s">
        <v>174</v>
      </c>
    </row>
    <row r="478" spans="1:10">
      <c r="A478">
        <v>474564</v>
      </c>
      <c r="B478" t="s">
        <v>275</v>
      </c>
      <c r="C478" t="s">
        <v>276</v>
      </c>
      <c r="D478" t="s">
        <v>70</v>
      </c>
      <c r="E478" t="s">
        <v>13</v>
      </c>
      <c r="F478">
        <v>10.58405552</v>
      </c>
      <c r="G478">
        <v>76.435817420000006</v>
      </c>
      <c r="H478">
        <v>1</v>
      </c>
      <c r="I478" t="s">
        <v>14</v>
      </c>
      <c r="J478" t="s">
        <v>174</v>
      </c>
    </row>
    <row r="479" spans="1:10">
      <c r="A479">
        <v>474563</v>
      </c>
      <c r="B479" t="s">
        <v>277</v>
      </c>
      <c r="C479" t="s">
        <v>278</v>
      </c>
      <c r="D479" t="s">
        <v>70</v>
      </c>
      <c r="E479" t="s">
        <v>13</v>
      </c>
      <c r="F479">
        <v>10.528605750000001</v>
      </c>
      <c r="G479">
        <v>76.255621129999994</v>
      </c>
      <c r="H479">
        <v>2</v>
      </c>
      <c r="I479" t="s">
        <v>14</v>
      </c>
      <c r="J479" t="s">
        <v>174</v>
      </c>
    </row>
    <row r="480" spans="1:10">
      <c r="A480">
        <v>474562</v>
      </c>
      <c r="B480" t="s">
        <v>279</v>
      </c>
      <c r="C480" t="s">
        <v>278</v>
      </c>
      <c r="D480" t="s">
        <v>70</v>
      </c>
      <c r="E480" t="s">
        <v>13</v>
      </c>
      <c r="F480">
        <v>10.539559649999999</v>
      </c>
      <c r="G480">
        <v>76.253916840000002</v>
      </c>
      <c r="H480">
        <v>1</v>
      </c>
      <c r="I480" t="s">
        <v>14</v>
      </c>
      <c r="J480" t="s">
        <v>174</v>
      </c>
    </row>
    <row r="481" spans="1:10">
      <c r="A481">
        <v>474561</v>
      </c>
      <c r="B481" t="s">
        <v>280</v>
      </c>
      <c r="C481" t="s">
        <v>169</v>
      </c>
      <c r="D481" t="s">
        <v>70</v>
      </c>
      <c r="E481" t="s">
        <v>13</v>
      </c>
      <c r="F481">
        <v>10.511219799999999</v>
      </c>
      <c r="G481">
        <v>76.21322687</v>
      </c>
      <c r="H481">
        <v>2</v>
      </c>
      <c r="I481" t="s">
        <v>14</v>
      </c>
      <c r="J481" t="s">
        <v>174</v>
      </c>
    </row>
    <row r="482" spans="1:10">
      <c r="A482">
        <v>474560</v>
      </c>
      <c r="B482" t="s">
        <v>281</v>
      </c>
      <c r="C482" t="s">
        <v>282</v>
      </c>
      <c r="D482" t="s">
        <v>70</v>
      </c>
      <c r="E482" t="s">
        <v>13</v>
      </c>
      <c r="F482">
        <v>10.155044699999999</v>
      </c>
      <c r="G482">
        <v>76.280933919999995</v>
      </c>
      <c r="H482">
        <v>1</v>
      </c>
      <c r="I482" t="s">
        <v>14</v>
      </c>
      <c r="J482" t="s">
        <v>174</v>
      </c>
    </row>
    <row r="483" spans="1:10">
      <c r="A483">
        <v>474559</v>
      </c>
      <c r="B483" t="s">
        <v>283</v>
      </c>
      <c r="C483" t="s">
        <v>284</v>
      </c>
      <c r="D483" t="s">
        <v>70</v>
      </c>
      <c r="E483" t="s">
        <v>13</v>
      </c>
      <c r="F483">
        <v>10.0364764</v>
      </c>
      <c r="G483">
        <v>76.418650339999999</v>
      </c>
      <c r="H483">
        <v>3</v>
      </c>
      <c r="I483" t="s">
        <v>14</v>
      </c>
      <c r="J483" t="s">
        <v>174</v>
      </c>
    </row>
    <row r="484" spans="1:10">
      <c r="A484">
        <v>474558</v>
      </c>
      <c r="B484" t="s">
        <v>285</v>
      </c>
      <c r="C484" t="s">
        <v>286</v>
      </c>
      <c r="D484" t="s">
        <v>70</v>
      </c>
      <c r="E484" t="s">
        <v>13</v>
      </c>
      <c r="F484">
        <v>10.00394558</v>
      </c>
      <c r="G484">
        <v>76.313353500000005</v>
      </c>
      <c r="H484">
        <v>4</v>
      </c>
      <c r="I484" t="s">
        <v>14</v>
      </c>
      <c r="J484" t="s">
        <v>174</v>
      </c>
    </row>
    <row r="485" spans="1:10">
      <c r="A485">
        <v>474557</v>
      </c>
      <c r="B485" t="s">
        <v>287</v>
      </c>
      <c r="C485" t="s">
        <v>288</v>
      </c>
      <c r="D485" t="s">
        <v>70</v>
      </c>
      <c r="E485" t="s">
        <v>13</v>
      </c>
      <c r="F485">
        <v>9.9592240220000008</v>
      </c>
      <c r="G485">
        <v>76.314190210000007</v>
      </c>
      <c r="H485">
        <v>1</v>
      </c>
      <c r="I485" t="s">
        <v>14</v>
      </c>
      <c r="J485" t="s">
        <v>174</v>
      </c>
    </row>
    <row r="486" spans="1:10">
      <c r="A486">
        <v>474556</v>
      </c>
      <c r="B486" t="s">
        <v>289</v>
      </c>
      <c r="C486" t="s">
        <v>290</v>
      </c>
      <c r="D486" t="s">
        <v>70</v>
      </c>
      <c r="E486" t="s">
        <v>13</v>
      </c>
      <c r="F486">
        <v>9.9387199810000002</v>
      </c>
      <c r="G486">
        <v>76.318309159999998</v>
      </c>
      <c r="H486">
        <v>1</v>
      </c>
      <c r="I486" t="s">
        <v>14</v>
      </c>
      <c r="J486" t="s">
        <v>174</v>
      </c>
    </row>
    <row r="487" spans="1:10">
      <c r="A487">
        <v>474555</v>
      </c>
      <c r="B487" t="s">
        <v>291</v>
      </c>
      <c r="C487" t="s">
        <v>292</v>
      </c>
      <c r="D487" t="s">
        <v>70</v>
      </c>
      <c r="E487" t="s">
        <v>13</v>
      </c>
      <c r="F487">
        <v>9.7432319809999992</v>
      </c>
      <c r="G487">
        <v>76.319428619999996</v>
      </c>
      <c r="H487">
        <v>2</v>
      </c>
      <c r="I487" t="s">
        <v>14</v>
      </c>
      <c r="J487" t="s">
        <v>174</v>
      </c>
    </row>
    <row r="488" spans="1:10">
      <c r="A488">
        <v>474554</v>
      </c>
      <c r="B488" t="s">
        <v>293</v>
      </c>
      <c r="C488" t="s">
        <v>294</v>
      </c>
      <c r="D488" t="s">
        <v>70</v>
      </c>
      <c r="E488" t="s">
        <v>13</v>
      </c>
      <c r="F488">
        <v>10.01677286</v>
      </c>
      <c r="G488">
        <v>76.50315707</v>
      </c>
      <c r="H488">
        <v>1</v>
      </c>
      <c r="I488" t="s">
        <v>14</v>
      </c>
      <c r="J488" t="s">
        <v>174</v>
      </c>
    </row>
    <row r="489" spans="1:10">
      <c r="A489">
        <v>474553</v>
      </c>
      <c r="B489" t="s">
        <v>295</v>
      </c>
      <c r="C489" t="s">
        <v>296</v>
      </c>
      <c r="D489" t="s">
        <v>70</v>
      </c>
      <c r="E489" t="s">
        <v>13</v>
      </c>
      <c r="F489">
        <v>10.05906858</v>
      </c>
      <c r="G489">
        <v>76.683979590000007</v>
      </c>
      <c r="H489">
        <v>2</v>
      </c>
      <c r="I489" t="s">
        <v>14</v>
      </c>
      <c r="J489" t="s">
        <v>174</v>
      </c>
    </row>
    <row r="490" spans="1:10">
      <c r="A490">
        <v>474552</v>
      </c>
      <c r="B490" t="s">
        <v>297</v>
      </c>
      <c r="C490" t="s">
        <v>298</v>
      </c>
      <c r="D490" t="s">
        <v>70</v>
      </c>
      <c r="E490" t="s">
        <v>13</v>
      </c>
      <c r="F490">
        <v>9.9356134669999996</v>
      </c>
      <c r="G490">
        <v>76.575501970000005</v>
      </c>
      <c r="H490">
        <v>1</v>
      </c>
      <c r="I490" t="s">
        <v>14</v>
      </c>
      <c r="J490" t="s">
        <v>174</v>
      </c>
    </row>
    <row r="491" spans="1:10">
      <c r="A491">
        <v>474550</v>
      </c>
      <c r="B491" t="s">
        <v>299</v>
      </c>
      <c r="C491" t="s">
        <v>300</v>
      </c>
      <c r="D491" t="s">
        <v>70</v>
      </c>
      <c r="E491" t="s">
        <v>13</v>
      </c>
      <c r="F491">
        <v>9.796182731</v>
      </c>
      <c r="G491">
        <v>76.663308110000003</v>
      </c>
      <c r="H491">
        <v>2</v>
      </c>
      <c r="I491" t="s">
        <v>14</v>
      </c>
      <c r="J491" t="s">
        <v>174</v>
      </c>
    </row>
    <row r="492" spans="1:10">
      <c r="A492">
        <v>474549</v>
      </c>
      <c r="B492" t="s">
        <v>301</v>
      </c>
      <c r="C492" t="s">
        <v>83</v>
      </c>
      <c r="D492" t="s">
        <v>70</v>
      </c>
      <c r="E492" t="s">
        <v>13</v>
      </c>
      <c r="F492">
        <v>9.7188467660000004</v>
      </c>
      <c r="G492">
        <v>76.525173690000003</v>
      </c>
      <c r="H492">
        <v>2</v>
      </c>
      <c r="I492" t="s">
        <v>14</v>
      </c>
      <c r="J492" t="s">
        <v>174</v>
      </c>
    </row>
    <row r="493" spans="1:10">
      <c r="A493">
        <v>474548</v>
      </c>
      <c r="B493" t="s">
        <v>302</v>
      </c>
      <c r="C493" t="s">
        <v>77</v>
      </c>
      <c r="D493" t="s">
        <v>70</v>
      </c>
      <c r="E493" t="s">
        <v>13</v>
      </c>
      <c r="F493">
        <v>10.01725794</v>
      </c>
      <c r="G493">
        <v>77.000660310000001</v>
      </c>
      <c r="H493">
        <v>1</v>
      </c>
      <c r="I493" t="s">
        <v>14</v>
      </c>
      <c r="J493" t="s">
        <v>174</v>
      </c>
    </row>
    <row r="494" spans="1:10">
      <c r="A494">
        <v>474547</v>
      </c>
      <c r="B494" t="s">
        <v>303</v>
      </c>
      <c r="C494" t="s">
        <v>304</v>
      </c>
      <c r="D494" t="s">
        <v>70</v>
      </c>
      <c r="E494" t="s">
        <v>13</v>
      </c>
      <c r="F494">
        <v>9.8474662049999999</v>
      </c>
      <c r="G494">
        <v>76.98095644</v>
      </c>
      <c r="H494">
        <v>1</v>
      </c>
      <c r="I494" t="s">
        <v>14</v>
      </c>
      <c r="J494" t="s">
        <v>174</v>
      </c>
    </row>
    <row r="495" spans="1:10">
      <c r="A495">
        <v>474546</v>
      </c>
      <c r="B495" t="s">
        <v>305</v>
      </c>
      <c r="C495" t="s">
        <v>306</v>
      </c>
      <c r="D495" t="s">
        <v>70</v>
      </c>
      <c r="E495" t="s">
        <v>13</v>
      </c>
      <c r="F495">
        <v>9.7508376499999994</v>
      </c>
      <c r="G495">
        <v>77.109185760000003</v>
      </c>
      <c r="H495">
        <v>1</v>
      </c>
      <c r="I495" t="s">
        <v>14</v>
      </c>
      <c r="J495" t="s">
        <v>174</v>
      </c>
    </row>
    <row r="496" spans="1:10">
      <c r="A496">
        <v>474545</v>
      </c>
      <c r="B496" t="s">
        <v>307</v>
      </c>
      <c r="C496" t="s">
        <v>308</v>
      </c>
      <c r="D496" t="s">
        <v>70</v>
      </c>
      <c r="E496" t="s">
        <v>13</v>
      </c>
      <c r="F496">
        <v>9.6888980740000008</v>
      </c>
      <c r="G496">
        <v>76.904448430000002</v>
      </c>
      <c r="H496">
        <v>1</v>
      </c>
      <c r="I496" t="s">
        <v>14</v>
      </c>
      <c r="J496" t="s">
        <v>174</v>
      </c>
    </row>
    <row r="497" spans="1:10">
      <c r="A497">
        <v>474544</v>
      </c>
      <c r="B497" t="s">
        <v>309</v>
      </c>
      <c r="C497" t="s">
        <v>310</v>
      </c>
      <c r="D497" t="s">
        <v>70</v>
      </c>
      <c r="E497" t="s">
        <v>13</v>
      </c>
      <c r="F497">
        <v>9.7197523449999998</v>
      </c>
      <c r="G497">
        <v>76.691662940000001</v>
      </c>
      <c r="H497">
        <v>2</v>
      </c>
      <c r="I497" t="s">
        <v>14</v>
      </c>
      <c r="J497" t="s">
        <v>174</v>
      </c>
    </row>
    <row r="498" spans="1:10">
      <c r="A498">
        <v>474543</v>
      </c>
      <c r="B498" t="s">
        <v>311</v>
      </c>
      <c r="C498" t="s">
        <v>312</v>
      </c>
      <c r="D498" t="s">
        <v>70</v>
      </c>
      <c r="E498" t="s">
        <v>13</v>
      </c>
      <c r="F498">
        <v>9.6060836389999995</v>
      </c>
      <c r="G498">
        <v>76.576150470000002</v>
      </c>
      <c r="H498">
        <v>2</v>
      </c>
      <c r="I498" t="s">
        <v>14</v>
      </c>
      <c r="J498" t="s">
        <v>174</v>
      </c>
    </row>
    <row r="499" spans="1:10">
      <c r="A499">
        <v>474542</v>
      </c>
      <c r="B499" t="s">
        <v>313</v>
      </c>
      <c r="C499" t="s">
        <v>314</v>
      </c>
      <c r="D499" t="s">
        <v>70</v>
      </c>
      <c r="E499" t="s">
        <v>13</v>
      </c>
      <c r="F499">
        <v>9.5096745729999999</v>
      </c>
      <c r="G499">
        <v>76.693360740000003</v>
      </c>
      <c r="H499">
        <v>2</v>
      </c>
      <c r="I499" t="s">
        <v>14</v>
      </c>
      <c r="J499" t="s">
        <v>174</v>
      </c>
    </row>
    <row r="500" spans="1:10">
      <c r="A500">
        <v>474541</v>
      </c>
      <c r="B500" t="s">
        <v>315</v>
      </c>
      <c r="C500" t="s">
        <v>316</v>
      </c>
      <c r="D500" t="s">
        <v>70</v>
      </c>
      <c r="E500" t="s">
        <v>13</v>
      </c>
      <c r="F500">
        <v>9.4784248840000007</v>
      </c>
      <c r="G500">
        <v>76.561479860000006</v>
      </c>
      <c r="H500">
        <v>1</v>
      </c>
      <c r="I500" t="s">
        <v>14</v>
      </c>
      <c r="J500" t="s">
        <v>174</v>
      </c>
    </row>
    <row r="501" spans="1:10">
      <c r="A501">
        <v>474540</v>
      </c>
      <c r="B501" t="s">
        <v>317</v>
      </c>
      <c r="C501" t="s">
        <v>318</v>
      </c>
      <c r="D501" t="s">
        <v>70</v>
      </c>
      <c r="E501" t="s">
        <v>13</v>
      </c>
      <c r="F501">
        <v>9.4737942700000009</v>
      </c>
      <c r="G501">
        <v>76.528514380000004</v>
      </c>
      <c r="H501">
        <v>2</v>
      </c>
      <c r="I501" t="s">
        <v>14</v>
      </c>
      <c r="J501" t="s">
        <v>174</v>
      </c>
    </row>
    <row r="502" spans="1:10">
      <c r="A502">
        <v>474539</v>
      </c>
      <c r="B502" t="s">
        <v>319</v>
      </c>
      <c r="C502" t="s">
        <v>320</v>
      </c>
      <c r="D502" t="s">
        <v>70</v>
      </c>
      <c r="E502" t="s">
        <v>13</v>
      </c>
      <c r="F502">
        <v>9.4177052400000001</v>
      </c>
      <c r="G502">
        <v>76.488120510000002</v>
      </c>
      <c r="H502">
        <v>2</v>
      </c>
      <c r="I502" t="s">
        <v>14</v>
      </c>
      <c r="J502" t="s">
        <v>174</v>
      </c>
    </row>
    <row r="503" spans="1:10">
      <c r="A503">
        <v>474538</v>
      </c>
      <c r="B503" t="s">
        <v>321</v>
      </c>
      <c r="C503" t="s">
        <v>322</v>
      </c>
      <c r="D503" t="s">
        <v>70</v>
      </c>
      <c r="E503" t="s">
        <v>13</v>
      </c>
      <c r="F503">
        <v>9.3573435620000005</v>
      </c>
      <c r="G503">
        <v>76.590624450000007</v>
      </c>
      <c r="H503">
        <v>2</v>
      </c>
      <c r="I503" t="s">
        <v>14</v>
      </c>
      <c r="J503" t="s">
        <v>174</v>
      </c>
    </row>
    <row r="504" spans="1:10">
      <c r="A504">
        <v>474478</v>
      </c>
      <c r="B504" t="s">
        <v>323</v>
      </c>
      <c r="C504" t="s">
        <v>324</v>
      </c>
      <c r="D504" t="s">
        <v>70</v>
      </c>
      <c r="E504" t="s">
        <v>13</v>
      </c>
      <c r="F504">
        <v>9.2110191399999994</v>
      </c>
      <c r="G504">
        <v>76.503142740000001</v>
      </c>
      <c r="H504">
        <v>1</v>
      </c>
      <c r="I504" t="s">
        <v>14</v>
      </c>
      <c r="J504" t="s">
        <v>174</v>
      </c>
    </row>
    <row r="505" spans="1:10">
      <c r="A505">
        <v>474477</v>
      </c>
      <c r="B505" t="s">
        <v>325</v>
      </c>
      <c r="C505" t="s">
        <v>326</v>
      </c>
      <c r="D505" t="s">
        <v>70</v>
      </c>
      <c r="E505" t="s">
        <v>13</v>
      </c>
      <c r="F505">
        <v>9.147193176</v>
      </c>
      <c r="G505">
        <v>76.732401390000007</v>
      </c>
      <c r="H505">
        <v>1</v>
      </c>
      <c r="I505" t="s">
        <v>14</v>
      </c>
      <c r="J505" t="s">
        <v>174</v>
      </c>
    </row>
    <row r="506" spans="1:10">
      <c r="A506">
        <v>474476</v>
      </c>
      <c r="B506" t="s">
        <v>327</v>
      </c>
      <c r="C506" t="s">
        <v>328</v>
      </c>
      <c r="D506" t="s">
        <v>70</v>
      </c>
      <c r="E506" t="s">
        <v>13</v>
      </c>
      <c r="F506">
        <v>9.0672364620000003</v>
      </c>
      <c r="G506">
        <v>76.535885350000001</v>
      </c>
      <c r="H506">
        <v>1</v>
      </c>
      <c r="I506" t="s">
        <v>14</v>
      </c>
      <c r="J506" t="s">
        <v>174</v>
      </c>
    </row>
    <row r="507" spans="1:10">
      <c r="A507">
        <v>474475</v>
      </c>
      <c r="B507" t="s">
        <v>329</v>
      </c>
      <c r="C507" t="s">
        <v>330</v>
      </c>
      <c r="D507" t="s">
        <v>70</v>
      </c>
      <c r="E507" t="s">
        <v>13</v>
      </c>
      <c r="F507">
        <v>9.0461089460000004</v>
      </c>
      <c r="G507">
        <v>76.536683940000003</v>
      </c>
      <c r="H507">
        <v>1</v>
      </c>
      <c r="I507" t="s">
        <v>14</v>
      </c>
      <c r="J507" t="s">
        <v>174</v>
      </c>
    </row>
    <row r="508" spans="1:10">
      <c r="A508">
        <v>474474</v>
      </c>
      <c r="B508" t="s">
        <v>331</v>
      </c>
      <c r="C508" t="s">
        <v>332</v>
      </c>
      <c r="D508" t="s">
        <v>70</v>
      </c>
      <c r="E508" t="s">
        <v>13</v>
      </c>
      <c r="F508">
        <v>8.9832299750000004</v>
      </c>
      <c r="G508">
        <v>76.534770399999999</v>
      </c>
      <c r="H508">
        <v>2</v>
      </c>
      <c r="I508" t="s">
        <v>14</v>
      </c>
      <c r="J508" t="s">
        <v>174</v>
      </c>
    </row>
    <row r="509" spans="1:10">
      <c r="A509">
        <v>474473</v>
      </c>
      <c r="B509" t="s">
        <v>331</v>
      </c>
      <c r="C509" t="s">
        <v>332</v>
      </c>
      <c r="D509" t="s">
        <v>70</v>
      </c>
      <c r="E509" t="s">
        <v>13</v>
      </c>
      <c r="F509">
        <v>8.9832299750000004</v>
      </c>
      <c r="G509">
        <v>76.534770399999999</v>
      </c>
      <c r="H509">
        <v>2</v>
      </c>
      <c r="I509" t="s">
        <v>14</v>
      </c>
      <c r="J509" t="s">
        <v>174</v>
      </c>
    </row>
    <row r="510" spans="1:10">
      <c r="A510">
        <v>474472</v>
      </c>
      <c r="B510" t="s">
        <v>333</v>
      </c>
      <c r="C510" t="s">
        <v>334</v>
      </c>
      <c r="D510" t="s">
        <v>70</v>
      </c>
      <c r="E510" t="s">
        <v>13</v>
      </c>
      <c r="F510">
        <v>9.0264721810000008</v>
      </c>
      <c r="G510">
        <v>76.851901089999998</v>
      </c>
      <c r="H510">
        <v>1</v>
      </c>
      <c r="I510" t="s">
        <v>14</v>
      </c>
      <c r="J510" t="s">
        <v>174</v>
      </c>
    </row>
    <row r="511" spans="1:10">
      <c r="A511">
        <v>474471</v>
      </c>
      <c r="B511" t="s">
        <v>335</v>
      </c>
      <c r="C511" t="s">
        <v>336</v>
      </c>
      <c r="D511" t="s">
        <v>70</v>
      </c>
      <c r="E511" t="s">
        <v>13</v>
      </c>
      <c r="F511">
        <v>8.9629576830000008</v>
      </c>
      <c r="G511">
        <v>76.835557640000005</v>
      </c>
      <c r="H511">
        <v>2</v>
      </c>
      <c r="I511" t="s">
        <v>14</v>
      </c>
      <c r="J511" t="s">
        <v>174</v>
      </c>
    </row>
    <row r="512" spans="1:10">
      <c r="A512">
        <v>474470</v>
      </c>
      <c r="B512" t="s">
        <v>337</v>
      </c>
      <c r="C512" t="s">
        <v>338</v>
      </c>
      <c r="D512" t="s">
        <v>70</v>
      </c>
      <c r="E512" t="s">
        <v>13</v>
      </c>
      <c r="F512">
        <v>8.9213146250000008</v>
      </c>
      <c r="G512">
        <v>76.576369709999994</v>
      </c>
      <c r="H512">
        <v>2</v>
      </c>
      <c r="I512" t="s">
        <v>14</v>
      </c>
      <c r="J512" t="s">
        <v>174</v>
      </c>
    </row>
    <row r="513" spans="1:10">
      <c r="A513">
        <v>474468</v>
      </c>
      <c r="B513" t="s">
        <v>339</v>
      </c>
      <c r="C513" t="s">
        <v>340</v>
      </c>
      <c r="D513" t="s">
        <v>12</v>
      </c>
      <c r="E513" t="s">
        <v>13</v>
      </c>
      <c r="F513">
        <v>8.7139741789999992</v>
      </c>
      <c r="G513">
        <v>76.779719069999999</v>
      </c>
      <c r="H513">
        <v>3</v>
      </c>
      <c r="I513" t="s">
        <v>14</v>
      </c>
      <c r="J513" t="s">
        <v>174</v>
      </c>
    </row>
    <row r="514" spans="1:10">
      <c r="A514">
        <v>474467</v>
      </c>
      <c r="B514" t="s">
        <v>341</v>
      </c>
      <c r="C514" t="s">
        <v>187</v>
      </c>
      <c r="D514" t="s">
        <v>70</v>
      </c>
      <c r="E514" t="s">
        <v>13</v>
      </c>
      <c r="F514">
        <v>8.5004760449999992</v>
      </c>
      <c r="G514">
        <v>76.952289640000004</v>
      </c>
      <c r="H514">
        <v>2</v>
      </c>
      <c r="I514" t="s">
        <v>14</v>
      </c>
      <c r="J514" t="s">
        <v>174</v>
      </c>
    </row>
    <row r="515" spans="1:10">
      <c r="A515">
        <v>474466</v>
      </c>
      <c r="B515" t="s">
        <v>341</v>
      </c>
      <c r="C515" t="s">
        <v>187</v>
      </c>
      <c r="D515" t="s">
        <v>70</v>
      </c>
      <c r="E515" t="s">
        <v>13</v>
      </c>
      <c r="F515">
        <v>8.5004760449999992</v>
      </c>
      <c r="G515">
        <v>76.952289640000004</v>
      </c>
      <c r="H515">
        <v>2</v>
      </c>
      <c r="I515" t="s">
        <v>14</v>
      </c>
      <c r="J515" t="s">
        <v>174</v>
      </c>
    </row>
    <row r="516" spans="1:10">
      <c r="A516">
        <v>474465</v>
      </c>
      <c r="B516" t="s">
        <v>342</v>
      </c>
      <c r="C516" t="s">
        <v>187</v>
      </c>
      <c r="D516" t="s">
        <v>70</v>
      </c>
      <c r="E516" t="s">
        <v>13</v>
      </c>
      <c r="F516">
        <v>8.4944297970000004</v>
      </c>
      <c r="G516">
        <v>76.930072710000005</v>
      </c>
      <c r="H516">
        <v>1</v>
      </c>
      <c r="I516" t="s">
        <v>14</v>
      </c>
      <c r="J516" t="s">
        <v>174</v>
      </c>
    </row>
    <row r="517" spans="1:10">
      <c r="A517">
        <v>474464</v>
      </c>
      <c r="B517" t="s">
        <v>343</v>
      </c>
      <c r="C517" t="s">
        <v>344</v>
      </c>
      <c r="D517" t="s">
        <v>70</v>
      </c>
      <c r="E517" t="s">
        <v>13</v>
      </c>
      <c r="F517">
        <v>8.4918428640000005</v>
      </c>
      <c r="G517">
        <v>76.920168200000006</v>
      </c>
      <c r="H517">
        <v>2</v>
      </c>
      <c r="I517" t="s">
        <v>14</v>
      </c>
      <c r="J517" t="s">
        <v>174</v>
      </c>
    </row>
    <row r="518" spans="1:10">
      <c r="A518">
        <v>474463</v>
      </c>
      <c r="B518" t="s">
        <v>345</v>
      </c>
      <c r="C518" t="s">
        <v>187</v>
      </c>
      <c r="D518" t="s">
        <v>70</v>
      </c>
      <c r="E518" t="s">
        <v>13</v>
      </c>
      <c r="F518">
        <v>8.5726519650000004</v>
      </c>
      <c r="G518">
        <v>76.870401259999994</v>
      </c>
      <c r="H518">
        <v>2</v>
      </c>
      <c r="I518" t="s">
        <v>14</v>
      </c>
      <c r="J518" t="s">
        <v>174</v>
      </c>
    </row>
    <row r="519" spans="1:10">
      <c r="A519">
        <v>474462</v>
      </c>
      <c r="B519" t="s">
        <v>346</v>
      </c>
      <c r="C519" t="s">
        <v>187</v>
      </c>
      <c r="D519" t="s">
        <v>70</v>
      </c>
      <c r="E519" t="s">
        <v>13</v>
      </c>
      <c r="F519">
        <v>8.5785855299999998</v>
      </c>
      <c r="G519">
        <v>76.866476250000005</v>
      </c>
      <c r="H519">
        <v>1</v>
      </c>
      <c r="I519" t="s">
        <v>14</v>
      </c>
      <c r="J519" t="s">
        <v>174</v>
      </c>
    </row>
    <row r="520" spans="1:10">
      <c r="A520">
        <v>474366</v>
      </c>
      <c r="B520" t="s">
        <v>347</v>
      </c>
      <c r="C520" t="s">
        <v>348</v>
      </c>
      <c r="D520" t="s">
        <v>219</v>
      </c>
      <c r="E520" t="s">
        <v>13</v>
      </c>
      <c r="F520">
        <v>22.17015606</v>
      </c>
      <c r="G520">
        <v>73.087612820000004</v>
      </c>
      <c r="H520">
        <v>1</v>
      </c>
      <c r="I520" t="s">
        <v>14</v>
      </c>
      <c r="J520" t="s">
        <v>223</v>
      </c>
    </row>
    <row r="521" spans="1:10">
      <c r="A521">
        <v>474365</v>
      </c>
      <c r="B521" t="s">
        <v>349</v>
      </c>
      <c r="C521" t="s">
        <v>348</v>
      </c>
      <c r="D521" t="s">
        <v>219</v>
      </c>
      <c r="E521" t="s">
        <v>13</v>
      </c>
      <c r="F521">
        <v>22.180225929999999</v>
      </c>
      <c r="G521">
        <v>73.089908579999999</v>
      </c>
      <c r="H521">
        <v>1</v>
      </c>
      <c r="I521" t="s">
        <v>14</v>
      </c>
      <c r="J521" t="s">
        <v>223</v>
      </c>
    </row>
    <row r="522" spans="1:10">
      <c r="A522">
        <v>474364</v>
      </c>
      <c r="B522" t="s">
        <v>350</v>
      </c>
      <c r="C522" t="s">
        <v>351</v>
      </c>
      <c r="D522" t="s">
        <v>219</v>
      </c>
      <c r="E522" t="s">
        <v>13</v>
      </c>
      <c r="F522">
        <v>20.740672960000001</v>
      </c>
      <c r="G522">
        <v>73.035601200000002</v>
      </c>
      <c r="H522">
        <v>1</v>
      </c>
      <c r="I522" t="s">
        <v>14</v>
      </c>
      <c r="J522" t="s">
        <v>139</v>
      </c>
    </row>
    <row r="523" spans="1:10">
      <c r="A523">
        <v>474363</v>
      </c>
      <c r="B523" t="s">
        <v>352</v>
      </c>
      <c r="C523" t="s">
        <v>353</v>
      </c>
      <c r="D523" t="s">
        <v>354</v>
      </c>
      <c r="E523" t="s">
        <v>13</v>
      </c>
      <c r="F523">
        <v>26.697500000000002</v>
      </c>
      <c r="G523">
        <v>91.851200000000006</v>
      </c>
      <c r="H523">
        <v>1</v>
      </c>
      <c r="I523" t="s">
        <v>14</v>
      </c>
      <c r="J523" t="s">
        <v>12</v>
      </c>
    </row>
    <row r="524" spans="1:10">
      <c r="A524">
        <v>474191</v>
      </c>
      <c r="B524" t="s">
        <v>355</v>
      </c>
      <c r="C524" t="s">
        <v>356</v>
      </c>
      <c r="D524" t="s">
        <v>357</v>
      </c>
      <c r="E524" t="s">
        <v>13</v>
      </c>
      <c r="F524">
        <v>16.536666790000002</v>
      </c>
      <c r="G524">
        <v>74.319957639999998</v>
      </c>
      <c r="H524">
        <v>2</v>
      </c>
      <c r="I524" t="s">
        <v>14</v>
      </c>
      <c r="J524" t="s">
        <v>358</v>
      </c>
    </row>
    <row r="525" spans="1:10">
      <c r="A525">
        <v>473117</v>
      </c>
      <c r="B525" t="s">
        <v>359</v>
      </c>
      <c r="C525" t="s">
        <v>360</v>
      </c>
      <c r="D525" t="s">
        <v>225</v>
      </c>
      <c r="E525" t="s">
        <v>13</v>
      </c>
      <c r="F525">
        <v>26.838270569999999</v>
      </c>
      <c r="G525">
        <v>80.853777109999996</v>
      </c>
      <c r="H525">
        <v>1</v>
      </c>
      <c r="I525" t="s">
        <v>14</v>
      </c>
      <c r="J525" t="s">
        <v>358</v>
      </c>
    </row>
    <row r="526" spans="1:10">
      <c r="A526">
        <v>473032</v>
      </c>
      <c r="B526" t="s">
        <v>361</v>
      </c>
      <c r="C526" t="s">
        <v>362</v>
      </c>
      <c r="D526" t="s">
        <v>219</v>
      </c>
      <c r="E526" t="s">
        <v>13</v>
      </c>
      <c r="F526">
        <v>22.794234490000001</v>
      </c>
      <c r="G526">
        <v>73.858826260000001</v>
      </c>
      <c r="H526">
        <v>1</v>
      </c>
      <c r="I526" t="s">
        <v>14</v>
      </c>
      <c r="J526" t="s">
        <v>139</v>
      </c>
    </row>
    <row r="527" spans="1:10">
      <c r="A527">
        <v>473031</v>
      </c>
      <c r="B527" t="s">
        <v>363</v>
      </c>
      <c r="C527" t="s">
        <v>364</v>
      </c>
      <c r="D527" t="s">
        <v>365</v>
      </c>
      <c r="E527" t="s">
        <v>13</v>
      </c>
      <c r="F527">
        <v>23.386513319999999</v>
      </c>
      <c r="G527">
        <v>75.059851280000004</v>
      </c>
      <c r="H527">
        <v>1</v>
      </c>
      <c r="I527" t="s">
        <v>14</v>
      </c>
      <c r="J527" t="s">
        <v>139</v>
      </c>
    </row>
    <row r="528" spans="1:10">
      <c r="A528">
        <v>472820</v>
      </c>
      <c r="B528" t="s">
        <v>366</v>
      </c>
      <c r="C528" t="s">
        <v>367</v>
      </c>
      <c r="D528" t="s">
        <v>203</v>
      </c>
      <c r="E528" t="s">
        <v>13</v>
      </c>
      <c r="F528">
        <v>29.886787590000001</v>
      </c>
      <c r="G528">
        <v>73.928230389999996</v>
      </c>
      <c r="H528">
        <v>1</v>
      </c>
      <c r="I528" t="s">
        <v>14</v>
      </c>
      <c r="J528" t="s">
        <v>12</v>
      </c>
    </row>
    <row r="529" spans="1:10">
      <c r="A529">
        <v>472811</v>
      </c>
      <c r="B529" t="s">
        <v>368</v>
      </c>
      <c r="C529" t="s">
        <v>369</v>
      </c>
      <c r="D529" t="s">
        <v>225</v>
      </c>
      <c r="E529" t="s">
        <v>13</v>
      </c>
      <c r="F529">
        <v>27.612047010000001</v>
      </c>
      <c r="G529">
        <v>77.741850729999996</v>
      </c>
      <c r="H529">
        <v>2</v>
      </c>
      <c r="I529" t="s">
        <v>14</v>
      </c>
      <c r="J529" t="s">
        <v>358</v>
      </c>
    </row>
    <row r="530" spans="1:10">
      <c r="A530">
        <v>472810</v>
      </c>
      <c r="B530" t="s">
        <v>370</v>
      </c>
      <c r="C530" t="s">
        <v>369</v>
      </c>
      <c r="D530" t="s">
        <v>225</v>
      </c>
      <c r="E530" t="s">
        <v>13</v>
      </c>
      <c r="F530">
        <v>27.55039597</v>
      </c>
      <c r="G530">
        <v>77.755062640000006</v>
      </c>
      <c r="H530">
        <v>2</v>
      </c>
      <c r="I530" t="s">
        <v>14</v>
      </c>
      <c r="J530" t="s">
        <v>358</v>
      </c>
    </row>
    <row r="531" spans="1:10">
      <c r="A531">
        <v>472808</v>
      </c>
      <c r="B531" t="s">
        <v>371</v>
      </c>
      <c r="C531" t="s">
        <v>372</v>
      </c>
      <c r="D531" t="s">
        <v>225</v>
      </c>
      <c r="E531" t="s">
        <v>13</v>
      </c>
      <c r="F531">
        <v>27.153405339999999</v>
      </c>
      <c r="G531">
        <v>78.070735929999998</v>
      </c>
      <c r="H531">
        <v>1</v>
      </c>
      <c r="I531" t="s">
        <v>14</v>
      </c>
      <c r="J531" t="s">
        <v>201</v>
      </c>
    </row>
    <row r="532" spans="1:10">
      <c r="A532">
        <v>472798</v>
      </c>
      <c r="B532" t="s">
        <v>366</v>
      </c>
      <c r="C532" t="s">
        <v>367</v>
      </c>
      <c r="D532" t="s">
        <v>203</v>
      </c>
      <c r="E532" t="s">
        <v>13</v>
      </c>
      <c r="F532">
        <v>29.886991559999998</v>
      </c>
      <c r="G532">
        <v>73.924737930000006</v>
      </c>
      <c r="H532">
        <v>1</v>
      </c>
      <c r="I532" t="s">
        <v>14</v>
      </c>
      <c r="J532" t="s">
        <v>12</v>
      </c>
    </row>
    <row r="533" spans="1:10">
      <c r="A533">
        <v>472532</v>
      </c>
      <c r="B533" t="s">
        <v>373</v>
      </c>
      <c r="C533" t="s">
        <v>374</v>
      </c>
      <c r="D533" t="s">
        <v>375</v>
      </c>
      <c r="E533" t="s">
        <v>13</v>
      </c>
      <c r="F533">
        <v>11.04640756</v>
      </c>
      <c r="G533">
        <v>77.079561279999993</v>
      </c>
      <c r="H533">
        <v>1</v>
      </c>
      <c r="I533" t="s">
        <v>14</v>
      </c>
      <c r="J533" t="s">
        <v>12</v>
      </c>
    </row>
    <row r="534" spans="1:10">
      <c r="A534">
        <v>472508</v>
      </c>
      <c r="B534" t="s">
        <v>376</v>
      </c>
      <c r="C534" t="s">
        <v>12</v>
      </c>
      <c r="D534" t="s">
        <v>357</v>
      </c>
      <c r="E534" t="s">
        <v>13</v>
      </c>
      <c r="F534">
        <v>12.96085047</v>
      </c>
      <c r="G534">
        <v>77.581824740000002</v>
      </c>
      <c r="H534">
        <v>1</v>
      </c>
      <c r="I534" t="s">
        <v>14</v>
      </c>
      <c r="J534" t="s">
        <v>12</v>
      </c>
    </row>
    <row r="535" spans="1:10">
      <c r="A535">
        <v>472439</v>
      </c>
      <c r="B535" t="s">
        <v>377</v>
      </c>
      <c r="C535" t="s">
        <v>12</v>
      </c>
      <c r="D535" t="s">
        <v>365</v>
      </c>
      <c r="E535" t="s">
        <v>13</v>
      </c>
      <c r="F535">
        <v>21.997785950000001</v>
      </c>
      <c r="G535">
        <v>77.865381830000004</v>
      </c>
      <c r="H535">
        <v>1</v>
      </c>
      <c r="I535" t="s">
        <v>14</v>
      </c>
      <c r="J535" t="s">
        <v>378</v>
      </c>
    </row>
    <row r="536" spans="1:10">
      <c r="A536">
        <v>472327</v>
      </c>
      <c r="B536" t="s">
        <v>379</v>
      </c>
      <c r="C536" t="s">
        <v>380</v>
      </c>
      <c r="D536" t="s">
        <v>203</v>
      </c>
      <c r="E536" t="s">
        <v>13</v>
      </c>
      <c r="F536">
        <v>26.378544179999999</v>
      </c>
      <c r="G536">
        <v>76.253276310000004</v>
      </c>
      <c r="H536">
        <v>1</v>
      </c>
      <c r="I536" t="s">
        <v>14</v>
      </c>
      <c r="J536" t="s">
        <v>195</v>
      </c>
    </row>
    <row r="537" spans="1:10">
      <c r="A537">
        <v>472326</v>
      </c>
      <c r="B537" t="s">
        <v>381</v>
      </c>
      <c r="C537" t="s">
        <v>382</v>
      </c>
      <c r="D537" t="s">
        <v>203</v>
      </c>
      <c r="E537" t="s">
        <v>13</v>
      </c>
      <c r="F537">
        <v>25.162225670000002</v>
      </c>
      <c r="G537">
        <v>76.166360080000004</v>
      </c>
      <c r="H537">
        <v>1</v>
      </c>
      <c r="I537" t="s">
        <v>14</v>
      </c>
      <c r="J537" t="s">
        <v>383</v>
      </c>
    </row>
    <row r="538" spans="1:10">
      <c r="A538">
        <v>471993</v>
      </c>
      <c r="B538" t="s">
        <v>384</v>
      </c>
      <c r="C538" t="s">
        <v>385</v>
      </c>
      <c r="D538" t="s">
        <v>386</v>
      </c>
      <c r="E538" t="s">
        <v>13</v>
      </c>
      <c r="F538">
        <v>21.038975780000001</v>
      </c>
      <c r="G538">
        <v>72.975265410000006</v>
      </c>
      <c r="H538">
        <v>1</v>
      </c>
      <c r="I538" t="s">
        <v>14</v>
      </c>
      <c r="J538" t="s">
        <v>139</v>
      </c>
    </row>
    <row r="539" spans="1:10">
      <c r="A539">
        <v>471992</v>
      </c>
      <c r="B539" t="s">
        <v>387</v>
      </c>
      <c r="C539" t="s">
        <v>380</v>
      </c>
      <c r="D539" t="s">
        <v>388</v>
      </c>
      <c r="E539" t="s">
        <v>13</v>
      </c>
      <c r="F539">
        <v>26.377358019999999</v>
      </c>
      <c r="G539">
        <v>76.253756670000001</v>
      </c>
      <c r="H539">
        <v>1</v>
      </c>
      <c r="I539" t="s">
        <v>14</v>
      </c>
      <c r="J539" t="s">
        <v>195</v>
      </c>
    </row>
    <row r="540" spans="1:10">
      <c r="A540">
        <v>471991</v>
      </c>
      <c r="B540" t="s">
        <v>389</v>
      </c>
      <c r="C540" t="s">
        <v>390</v>
      </c>
      <c r="D540" t="s">
        <v>391</v>
      </c>
      <c r="E540" t="s">
        <v>13</v>
      </c>
      <c r="F540">
        <v>24.34526163</v>
      </c>
      <c r="G540">
        <v>75.678323300000002</v>
      </c>
      <c r="H540">
        <v>1</v>
      </c>
      <c r="I540" t="s">
        <v>14</v>
      </c>
      <c r="J540" t="s">
        <v>392</v>
      </c>
    </row>
    <row r="541" spans="1:10">
      <c r="A541">
        <v>471989</v>
      </c>
      <c r="B541" t="s">
        <v>393</v>
      </c>
      <c r="C541" t="s">
        <v>390</v>
      </c>
      <c r="D541" t="s">
        <v>391</v>
      </c>
      <c r="E541" t="s">
        <v>13</v>
      </c>
      <c r="F541">
        <v>24.346875610000001</v>
      </c>
      <c r="G541">
        <v>75.681559660000005</v>
      </c>
      <c r="H541">
        <v>1</v>
      </c>
      <c r="I541" t="s">
        <v>14</v>
      </c>
      <c r="J541" t="s">
        <v>392</v>
      </c>
    </row>
    <row r="542" spans="1:10">
      <c r="A542">
        <v>471855</v>
      </c>
      <c r="B542" t="s">
        <v>394</v>
      </c>
      <c r="C542" t="s">
        <v>395</v>
      </c>
      <c r="D542" t="s">
        <v>12</v>
      </c>
      <c r="E542" t="s">
        <v>13</v>
      </c>
      <c r="F542">
        <v>24.68468468</v>
      </c>
      <c r="G542">
        <v>77.337371489999995</v>
      </c>
      <c r="H542">
        <v>2</v>
      </c>
      <c r="I542" t="s">
        <v>14</v>
      </c>
      <c r="J542" t="s">
        <v>139</v>
      </c>
    </row>
    <row r="543" spans="1:10">
      <c r="A543">
        <v>471854</v>
      </c>
      <c r="B543" t="s">
        <v>396</v>
      </c>
      <c r="C543" t="s">
        <v>395</v>
      </c>
      <c r="D543" t="s">
        <v>365</v>
      </c>
      <c r="E543" t="s">
        <v>13</v>
      </c>
      <c r="F543">
        <v>24.540540539999999</v>
      </c>
      <c r="G543">
        <v>77.208677840000007</v>
      </c>
      <c r="H543">
        <v>2</v>
      </c>
      <c r="I543" t="s">
        <v>14</v>
      </c>
      <c r="J543" t="s">
        <v>139</v>
      </c>
    </row>
    <row r="544" spans="1:10">
      <c r="A544">
        <v>471853</v>
      </c>
      <c r="B544" t="s">
        <v>397</v>
      </c>
      <c r="C544" t="s">
        <v>398</v>
      </c>
      <c r="D544" t="s">
        <v>365</v>
      </c>
      <c r="E544" t="s">
        <v>13</v>
      </c>
      <c r="F544">
        <v>23.963963960000001</v>
      </c>
      <c r="G544">
        <v>76.938304029999998</v>
      </c>
      <c r="H544">
        <v>2</v>
      </c>
      <c r="I544" t="s">
        <v>14</v>
      </c>
      <c r="J544" t="s">
        <v>139</v>
      </c>
    </row>
    <row r="545" spans="1:10">
      <c r="A545">
        <v>471003</v>
      </c>
      <c r="B545" t="s">
        <v>399</v>
      </c>
      <c r="C545" t="s">
        <v>316</v>
      </c>
      <c r="D545" t="s">
        <v>70</v>
      </c>
      <c r="E545" t="s">
        <v>13</v>
      </c>
      <c r="F545">
        <v>9.4374421720000008</v>
      </c>
      <c r="G545">
        <v>76.542009199999995</v>
      </c>
      <c r="H545">
        <v>6</v>
      </c>
      <c r="I545" t="s">
        <v>14</v>
      </c>
      <c r="J545" t="s">
        <v>12</v>
      </c>
    </row>
    <row r="546" spans="1:10">
      <c r="A546">
        <v>470897</v>
      </c>
      <c r="B546" t="s">
        <v>400</v>
      </c>
      <c r="C546" t="s">
        <v>401</v>
      </c>
      <c r="D546" t="s">
        <v>138</v>
      </c>
      <c r="E546" t="s">
        <v>13</v>
      </c>
      <c r="F546">
        <v>11.044938999999999</v>
      </c>
      <c r="G546">
        <v>78.055860999999993</v>
      </c>
      <c r="H546">
        <v>1</v>
      </c>
      <c r="I546" t="s">
        <v>14</v>
      </c>
      <c r="J546" t="s">
        <v>201</v>
      </c>
    </row>
    <row r="547" spans="1:10">
      <c r="A547">
        <v>470760</v>
      </c>
      <c r="B547" t="s">
        <v>402</v>
      </c>
      <c r="C547" t="s">
        <v>403</v>
      </c>
      <c r="D547" t="s">
        <v>138</v>
      </c>
      <c r="E547" t="s">
        <v>13</v>
      </c>
      <c r="F547">
        <v>10.777438999999999</v>
      </c>
      <c r="G547">
        <v>77.920824999999994</v>
      </c>
      <c r="H547">
        <v>2</v>
      </c>
      <c r="I547" t="s">
        <v>14</v>
      </c>
      <c r="J547" t="s">
        <v>404</v>
      </c>
    </row>
    <row r="548" spans="1:10">
      <c r="A548">
        <v>470710</v>
      </c>
      <c r="B548" t="s">
        <v>405</v>
      </c>
      <c r="C548" t="s">
        <v>403</v>
      </c>
      <c r="D548" t="s">
        <v>138</v>
      </c>
      <c r="E548" t="s">
        <v>13</v>
      </c>
      <c r="F548">
        <v>10.9642143</v>
      </c>
      <c r="G548">
        <v>78.046555609999999</v>
      </c>
      <c r="H548">
        <v>1</v>
      </c>
      <c r="I548" t="s">
        <v>14</v>
      </c>
      <c r="J548" t="s">
        <v>406</v>
      </c>
    </row>
    <row r="549" spans="1:10">
      <c r="A549">
        <v>470709</v>
      </c>
      <c r="B549" t="s">
        <v>407</v>
      </c>
      <c r="C549" t="s">
        <v>403</v>
      </c>
      <c r="D549" t="s">
        <v>138</v>
      </c>
      <c r="E549" t="s">
        <v>13</v>
      </c>
      <c r="F549">
        <v>10.96396171</v>
      </c>
      <c r="G549">
        <v>78.048042050000006</v>
      </c>
      <c r="H549">
        <v>1</v>
      </c>
      <c r="I549" t="s">
        <v>14</v>
      </c>
      <c r="J549" t="s">
        <v>198</v>
      </c>
    </row>
    <row r="550" spans="1:10">
      <c r="A550">
        <v>469744</v>
      </c>
      <c r="B550" t="s">
        <v>408</v>
      </c>
      <c r="C550" t="s">
        <v>409</v>
      </c>
      <c r="D550" t="s">
        <v>203</v>
      </c>
      <c r="E550" t="s">
        <v>13</v>
      </c>
      <c r="F550">
        <v>27.28713106</v>
      </c>
      <c r="G550">
        <v>76.77469481</v>
      </c>
      <c r="H550">
        <v>2</v>
      </c>
      <c r="I550" t="s">
        <v>14</v>
      </c>
      <c r="J550" t="s">
        <v>392</v>
      </c>
    </row>
    <row r="551" spans="1:10">
      <c r="A551">
        <v>469742</v>
      </c>
      <c r="B551" t="s">
        <v>410</v>
      </c>
      <c r="C551" t="s">
        <v>411</v>
      </c>
      <c r="D551" t="s">
        <v>219</v>
      </c>
      <c r="E551" t="s">
        <v>13</v>
      </c>
      <c r="F551">
        <v>22.81045962</v>
      </c>
      <c r="G551">
        <v>74.300685220000005</v>
      </c>
      <c r="H551">
        <v>2</v>
      </c>
      <c r="I551" t="s">
        <v>14</v>
      </c>
      <c r="J551" t="s">
        <v>195</v>
      </c>
    </row>
    <row r="552" spans="1:10">
      <c r="A552">
        <v>469522</v>
      </c>
      <c r="B552" t="s">
        <v>412</v>
      </c>
      <c r="C552" t="s">
        <v>413</v>
      </c>
      <c r="D552" t="s">
        <v>219</v>
      </c>
      <c r="E552" t="s">
        <v>13</v>
      </c>
      <c r="F552">
        <v>22.287645149999999</v>
      </c>
      <c r="G552">
        <v>73.132225790000007</v>
      </c>
      <c r="H552">
        <v>2</v>
      </c>
      <c r="I552" t="s">
        <v>14</v>
      </c>
      <c r="J552" t="s">
        <v>195</v>
      </c>
    </row>
    <row r="553" spans="1:10">
      <c r="A553">
        <v>469517</v>
      </c>
      <c r="B553" t="s">
        <v>414</v>
      </c>
      <c r="C553" t="s">
        <v>415</v>
      </c>
      <c r="D553" t="s">
        <v>416</v>
      </c>
      <c r="E553" t="s">
        <v>13</v>
      </c>
      <c r="F553">
        <v>28.63324209</v>
      </c>
      <c r="G553">
        <v>77.224946209999999</v>
      </c>
      <c r="H553">
        <v>1</v>
      </c>
      <c r="I553" t="s">
        <v>14</v>
      </c>
      <c r="J553" t="s">
        <v>417</v>
      </c>
    </row>
    <row r="554" spans="1:10">
      <c r="A554">
        <v>469488</v>
      </c>
      <c r="B554" t="s">
        <v>418</v>
      </c>
      <c r="C554" t="s">
        <v>413</v>
      </c>
      <c r="D554" t="s">
        <v>386</v>
      </c>
      <c r="E554" t="s">
        <v>13</v>
      </c>
      <c r="F554">
        <v>22.288523229999999</v>
      </c>
      <c r="G554">
        <v>73.132098560000003</v>
      </c>
      <c r="H554">
        <v>1</v>
      </c>
      <c r="I554" t="s">
        <v>14</v>
      </c>
      <c r="J554" t="s">
        <v>195</v>
      </c>
    </row>
    <row r="555" spans="1:10">
      <c r="A555">
        <v>469487</v>
      </c>
      <c r="B555" t="s">
        <v>419</v>
      </c>
      <c r="C555" t="s">
        <v>420</v>
      </c>
      <c r="D555" t="s">
        <v>216</v>
      </c>
      <c r="E555" t="s">
        <v>13</v>
      </c>
      <c r="F555">
        <v>19.677940660000001</v>
      </c>
      <c r="G555">
        <v>72.908046170000006</v>
      </c>
      <c r="H555">
        <v>2</v>
      </c>
      <c r="I555" t="s">
        <v>14</v>
      </c>
      <c r="J555" t="s">
        <v>139</v>
      </c>
    </row>
    <row r="556" spans="1:10">
      <c r="A556">
        <v>469384</v>
      </c>
      <c r="B556" t="s">
        <v>421</v>
      </c>
      <c r="C556" t="s">
        <v>422</v>
      </c>
      <c r="D556" t="s">
        <v>423</v>
      </c>
      <c r="E556" t="s">
        <v>13</v>
      </c>
      <c r="F556">
        <v>29.176436519999999</v>
      </c>
      <c r="G556">
        <v>79.496409459999995</v>
      </c>
      <c r="H556">
        <v>1</v>
      </c>
      <c r="I556" t="s">
        <v>14</v>
      </c>
      <c r="J556" t="s">
        <v>12</v>
      </c>
    </row>
    <row r="557" spans="1:10">
      <c r="A557">
        <v>469383</v>
      </c>
      <c r="B557" t="s">
        <v>424</v>
      </c>
      <c r="C557" t="s">
        <v>422</v>
      </c>
      <c r="D557" t="s">
        <v>423</v>
      </c>
      <c r="E557" t="s">
        <v>13</v>
      </c>
      <c r="F557">
        <v>29.224177449999999</v>
      </c>
      <c r="G557">
        <v>79.501043370000005</v>
      </c>
      <c r="H557">
        <v>1</v>
      </c>
      <c r="I557" t="s">
        <v>425</v>
      </c>
      <c r="J557" t="s">
        <v>12</v>
      </c>
    </row>
    <row r="558" spans="1:10">
      <c r="A558">
        <v>469382</v>
      </c>
      <c r="B558" t="s">
        <v>426</v>
      </c>
      <c r="C558" t="s">
        <v>422</v>
      </c>
      <c r="D558" t="s">
        <v>423</v>
      </c>
      <c r="E558" t="s">
        <v>13</v>
      </c>
      <c r="F558">
        <v>29.245389719999999</v>
      </c>
      <c r="G558">
        <v>79.535971709999998</v>
      </c>
      <c r="H558">
        <v>1</v>
      </c>
      <c r="I558" t="s">
        <v>14</v>
      </c>
      <c r="J558" t="s">
        <v>139</v>
      </c>
    </row>
    <row r="559" spans="1:10">
      <c r="A559">
        <v>469381</v>
      </c>
      <c r="B559" t="s">
        <v>427</v>
      </c>
      <c r="C559" t="s">
        <v>422</v>
      </c>
      <c r="D559" t="s">
        <v>423</v>
      </c>
      <c r="E559" t="s">
        <v>13</v>
      </c>
      <c r="F559">
        <v>29.21491941</v>
      </c>
      <c r="G559">
        <v>79.527984660000001</v>
      </c>
      <c r="H559">
        <v>1</v>
      </c>
      <c r="I559" t="s">
        <v>14</v>
      </c>
      <c r="J559" t="s">
        <v>12</v>
      </c>
    </row>
    <row r="560" spans="1:10">
      <c r="A560">
        <v>469380</v>
      </c>
      <c r="B560" t="s">
        <v>428</v>
      </c>
      <c r="C560" t="s">
        <v>422</v>
      </c>
      <c r="D560" t="s">
        <v>423</v>
      </c>
      <c r="E560" t="s">
        <v>13</v>
      </c>
      <c r="F560">
        <v>29.186542060000001</v>
      </c>
      <c r="G560">
        <v>79.520842630000004</v>
      </c>
      <c r="H560">
        <v>1</v>
      </c>
      <c r="I560" t="s">
        <v>425</v>
      </c>
      <c r="J560" t="s">
        <v>12</v>
      </c>
    </row>
    <row r="561" spans="1:10">
      <c r="A561">
        <v>469357</v>
      </c>
      <c r="B561" t="s">
        <v>429</v>
      </c>
      <c r="C561" t="s">
        <v>430</v>
      </c>
      <c r="D561" t="s">
        <v>431</v>
      </c>
      <c r="E561" t="s">
        <v>13</v>
      </c>
      <c r="F561">
        <v>28.998167110000001</v>
      </c>
      <c r="G561">
        <v>79.415785760000006</v>
      </c>
      <c r="H561">
        <v>2</v>
      </c>
      <c r="I561" t="s">
        <v>14</v>
      </c>
      <c r="J561" t="s">
        <v>358</v>
      </c>
    </row>
    <row r="562" spans="1:10">
      <c r="A562">
        <v>469356</v>
      </c>
      <c r="B562" t="s">
        <v>432</v>
      </c>
      <c r="C562" t="s">
        <v>430</v>
      </c>
      <c r="D562" t="s">
        <v>423</v>
      </c>
      <c r="E562" t="s">
        <v>13</v>
      </c>
      <c r="F562">
        <v>29.000382129999998</v>
      </c>
      <c r="G562">
        <v>79.399877380000007</v>
      </c>
      <c r="H562">
        <v>1</v>
      </c>
      <c r="I562" t="s">
        <v>14</v>
      </c>
      <c r="J562" t="s">
        <v>433</v>
      </c>
    </row>
    <row r="563" spans="1:10">
      <c r="A563">
        <v>469355</v>
      </c>
      <c r="B563" t="s">
        <v>434</v>
      </c>
      <c r="C563" t="s">
        <v>430</v>
      </c>
      <c r="D563" t="s">
        <v>423</v>
      </c>
      <c r="E563" t="s">
        <v>13</v>
      </c>
      <c r="F563">
        <v>28.994841569999998</v>
      </c>
      <c r="G563">
        <v>79.400686250000007</v>
      </c>
      <c r="H563">
        <v>1</v>
      </c>
      <c r="I563" t="s">
        <v>14</v>
      </c>
      <c r="J563" t="s">
        <v>201</v>
      </c>
    </row>
    <row r="564" spans="1:10">
      <c r="A564">
        <v>469354</v>
      </c>
      <c r="B564" t="s">
        <v>435</v>
      </c>
      <c r="C564" t="s">
        <v>430</v>
      </c>
      <c r="D564" t="s">
        <v>431</v>
      </c>
      <c r="E564" t="s">
        <v>13</v>
      </c>
      <c r="F564">
        <v>28.97859682</v>
      </c>
      <c r="G564">
        <v>79.400453170000006</v>
      </c>
      <c r="H564">
        <v>1</v>
      </c>
      <c r="I564" t="s">
        <v>14</v>
      </c>
      <c r="J564" t="s">
        <v>201</v>
      </c>
    </row>
    <row r="565" spans="1:10">
      <c r="A565">
        <v>469353</v>
      </c>
      <c r="B565" t="s">
        <v>436</v>
      </c>
      <c r="C565" t="s">
        <v>430</v>
      </c>
      <c r="D565" t="s">
        <v>423</v>
      </c>
      <c r="E565" t="s">
        <v>13</v>
      </c>
      <c r="F565">
        <v>28.975848540000001</v>
      </c>
      <c r="G565">
        <v>79.389542309999996</v>
      </c>
      <c r="H565">
        <v>1</v>
      </c>
      <c r="I565" t="s">
        <v>14</v>
      </c>
      <c r="J565" t="s">
        <v>139</v>
      </c>
    </row>
    <row r="566" spans="1:10">
      <c r="A566">
        <v>464561</v>
      </c>
      <c r="B566" t="s">
        <v>437</v>
      </c>
      <c r="C566" t="s">
        <v>438</v>
      </c>
      <c r="D566" t="s">
        <v>423</v>
      </c>
      <c r="E566" t="s">
        <v>13</v>
      </c>
      <c r="F566">
        <v>28.931216490000001</v>
      </c>
      <c r="G566">
        <v>79.51703689</v>
      </c>
      <c r="H566">
        <v>1</v>
      </c>
      <c r="I566" t="s">
        <v>425</v>
      </c>
      <c r="J566" t="s">
        <v>12</v>
      </c>
    </row>
    <row r="567" spans="1:10">
      <c r="A567">
        <v>464560</v>
      </c>
      <c r="B567" t="s">
        <v>439</v>
      </c>
      <c r="C567" t="s">
        <v>438</v>
      </c>
      <c r="D567" t="s">
        <v>423</v>
      </c>
      <c r="E567" t="s">
        <v>13</v>
      </c>
      <c r="F567">
        <v>28.870833640000001</v>
      </c>
      <c r="G567">
        <v>79.516480049999998</v>
      </c>
      <c r="H567">
        <v>1</v>
      </c>
      <c r="I567" t="s">
        <v>425</v>
      </c>
      <c r="J567" t="s">
        <v>12</v>
      </c>
    </row>
    <row r="568" spans="1:10">
      <c r="A568">
        <v>464559</v>
      </c>
      <c r="B568" t="s">
        <v>440</v>
      </c>
      <c r="C568" t="s">
        <v>438</v>
      </c>
      <c r="D568" t="s">
        <v>423</v>
      </c>
      <c r="E568" t="s">
        <v>13</v>
      </c>
      <c r="F568">
        <v>28.892693950000002</v>
      </c>
      <c r="G568">
        <v>79.509563700000001</v>
      </c>
      <c r="H568">
        <v>1</v>
      </c>
      <c r="I568" t="s">
        <v>425</v>
      </c>
      <c r="J568" t="s">
        <v>12</v>
      </c>
    </row>
    <row r="569" spans="1:10">
      <c r="A569">
        <v>464531</v>
      </c>
      <c r="B569" t="s">
        <v>441</v>
      </c>
      <c r="C569" t="s">
        <v>442</v>
      </c>
      <c r="D569" t="s">
        <v>443</v>
      </c>
      <c r="E569" t="s">
        <v>13</v>
      </c>
      <c r="F569">
        <v>26.83799922</v>
      </c>
      <c r="G569">
        <v>80.986727040000005</v>
      </c>
      <c r="H569">
        <v>2</v>
      </c>
      <c r="I569" t="s">
        <v>14</v>
      </c>
      <c r="J569" t="s">
        <v>444</v>
      </c>
    </row>
    <row r="570" spans="1:10">
      <c r="A570">
        <v>464530</v>
      </c>
      <c r="B570" t="s">
        <v>445</v>
      </c>
      <c r="C570" t="s">
        <v>442</v>
      </c>
      <c r="D570" t="s">
        <v>443</v>
      </c>
      <c r="E570" t="s">
        <v>13</v>
      </c>
      <c r="F570">
        <v>26.857210689999999</v>
      </c>
      <c r="G570">
        <v>80.982235149999994</v>
      </c>
      <c r="H570">
        <v>4</v>
      </c>
      <c r="I570" t="s">
        <v>14</v>
      </c>
      <c r="J570" t="s">
        <v>444</v>
      </c>
    </row>
    <row r="571" spans="1:10">
      <c r="A571">
        <v>464405</v>
      </c>
      <c r="B571" t="s">
        <v>446</v>
      </c>
      <c r="C571" t="s">
        <v>447</v>
      </c>
      <c r="D571" t="s">
        <v>391</v>
      </c>
      <c r="E571" t="s">
        <v>13</v>
      </c>
      <c r="F571">
        <v>24.810179059999999</v>
      </c>
      <c r="G571">
        <v>79.91151232</v>
      </c>
      <c r="H571">
        <v>2</v>
      </c>
      <c r="I571" t="s">
        <v>14</v>
      </c>
      <c r="J571" t="s">
        <v>207</v>
      </c>
    </row>
    <row r="572" spans="1:10">
      <c r="A572">
        <v>462394</v>
      </c>
      <c r="B572" t="s">
        <v>448</v>
      </c>
      <c r="C572" t="s">
        <v>447</v>
      </c>
      <c r="D572" t="s">
        <v>391</v>
      </c>
      <c r="E572" t="s">
        <v>13</v>
      </c>
      <c r="F572">
        <v>24.841218000000001</v>
      </c>
      <c r="G572">
        <v>79.920955300000003</v>
      </c>
      <c r="H572">
        <v>1</v>
      </c>
      <c r="I572" t="s">
        <v>14</v>
      </c>
      <c r="J572" t="s">
        <v>207</v>
      </c>
    </row>
    <row r="573" spans="1:10">
      <c r="A573">
        <v>462380</v>
      </c>
      <c r="B573" t="s">
        <v>449</v>
      </c>
      <c r="C573" t="s">
        <v>450</v>
      </c>
      <c r="D573" t="s">
        <v>391</v>
      </c>
      <c r="E573" t="s">
        <v>13</v>
      </c>
      <c r="F573">
        <v>21.9142364</v>
      </c>
      <c r="G573">
        <v>79.526366589999995</v>
      </c>
      <c r="H573">
        <v>1</v>
      </c>
      <c r="I573" t="s">
        <v>14</v>
      </c>
      <c r="J573" t="s">
        <v>201</v>
      </c>
    </row>
    <row r="574" spans="1:10">
      <c r="A574">
        <v>461277</v>
      </c>
      <c r="B574" t="s">
        <v>451</v>
      </c>
      <c r="C574" t="s">
        <v>11</v>
      </c>
      <c r="D574" t="s">
        <v>232</v>
      </c>
      <c r="E574" t="s">
        <v>13</v>
      </c>
      <c r="F574">
        <v>18.503925779999999</v>
      </c>
      <c r="G574">
        <v>73.803734329999997</v>
      </c>
      <c r="H574">
        <v>1</v>
      </c>
      <c r="I574" t="s">
        <v>452</v>
      </c>
      <c r="J574" t="s">
        <v>12</v>
      </c>
    </row>
    <row r="575" spans="1:10">
      <c r="A575">
        <v>461160</v>
      </c>
      <c r="B575" t="s">
        <v>453</v>
      </c>
      <c r="C575" t="s">
        <v>422</v>
      </c>
      <c r="D575" t="s">
        <v>423</v>
      </c>
      <c r="E575" t="s">
        <v>13</v>
      </c>
      <c r="F575">
        <v>29.163754999999998</v>
      </c>
      <c r="G575">
        <v>79.522705999999999</v>
      </c>
      <c r="H575">
        <v>1</v>
      </c>
      <c r="I575" t="s">
        <v>14</v>
      </c>
      <c r="J575" t="s">
        <v>358</v>
      </c>
    </row>
    <row r="576" spans="1:10">
      <c r="A576">
        <v>461021</v>
      </c>
      <c r="B576" t="s">
        <v>454</v>
      </c>
      <c r="C576" t="s">
        <v>455</v>
      </c>
      <c r="D576" t="s">
        <v>456</v>
      </c>
      <c r="E576" t="s">
        <v>13</v>
      </c>
      <c r="F576">
        <v>23.66383145</v>
      </c>
      <c r="G576">
        <v>87.057828110000003</v>
      </c>
      <c r="H576">
        <v>1</v>
      </c>
      <c r="I576" t="s">
        <v>14</v>
      </c>
      <c r="J576" t="s">
        <v>358</v>
      </c>
    </row>
    <row r="577" spans="1:10">
      <c r="A577">
        <v>461004</v>
      </c>
      <c r="B577" t="s">
        <v>457</v>
      </c>
      <c r="C577" t="s">
        <v>458</v>
      </c>
      <c r="D577" t="s">
        <v>459</v>
      </c>
      <c r="E577" t="s">
        <v>13</v>
      </c>
      <c r="F577">
        <v>23.765173279999999</v>
      </c>
      <c r="G577">
        <v>86.805740189999995</v>
      </c>
      <c r="H577">
        <v>1</v>
      </c>
      <c r="I577" t="s">
        <v>14</v>
      </c>
      <c r="J577" t="s">
        <v>358</v>
      </c>
    </row>
    <row r="578" spans="1:10">
      <c r="A578">
        <v>460962</v>
      </c>
      <c r="B578" t="s">
        <v>460</v>
      </c>
      <c r="C578" t="s">
        <v>12</v>
      </c>
      <c r="D578" t="s">
        <v>232</v>
      </c>
      <c r="E578" t="s">
        <v>13</v>
      </c>
      <c r="F578">
        <v>20.634269499999998</v>
      </c>
      <c r="G578">
        <v>78.927315519999993</v>
      </c>
      <c r="H578">
        <v>1</v>
      </c>
      <c r="I578" t="s">
        <v>14</v>
      </c>
      <c r="J578" t="s">
        <v>223</v>
      </c>
    </row>
    <row r="579" spans="1:10">
      <c r="A579">
        <v>460960</v>
      </c>
      <c r="B579" t="s">
        <v>461</v>
      </c>
      <c r="C579" t="s">
        <v>462</v>
      </c>
      <c r="D579" t="s">
        <v>459</v>
      </c>
      <c r="E579" t="s">
        <v>13</v>
      </c>
      <c r="F579">
        <v>24.012189830000001</v>
      </c>
      <c r="G579">
        <v>86.033785660000007</v>
      </c>
      <c r="H579">
        <v>1</v>
      </c>
      <c r="I579" t="s">
        <v>14</v>
      </c>
      <c r="J579" t="s">
        <v>358</v>
      </c>
    </row>
    <row r="580" spans="1:10">
      <c r="A580">
        <v>460636</v>
      </c>
      <c r="B580" t="s">
        <v>463</v>
      </c>
      <c r="C580" t="s">
        <v>464</v>
      </c>
      <c r="D580" t="s">
        <v>357</v>
      </c>
      <c r="E580" t="s">
        <v>13</v>
      </c>
      <c r="F580">
        <v>13.064573770000001</v>
      </c>
      <c r="G580">
        <v>77.257125160000001</v>
      </c>
      <c r="H580">
        <v>1</v>
      </c>
      <c r="I580" t="s">
        <v>14</v>
      </c>
      <c r="J580" t="s">
        <v>358</v>
      </c>
    </row>
    <row r="581" spans="1:10">
      <c r="A581">
        <v>460478</v>
      </c>
      <c r="B581" t="s">
        <v>465</v>
      </c>
      <c r="C581" t="s">
        <v>466</v>
      </c>
      <c r="D581" t="s">
        <v>357</v>
      </c>
      <c r="E581" t="s">
        <v>13</v>
      </c>
      <c r="F581">
        <v>12.960134460000001</v>
      </c>
      <c r="G581">
        <v>76.330239059999997</v>
      </c>
      <c r="H581">
        <v>1</v>
      </c>
      <c r="I581" t="s">
        <v>14</v>
      </c>
      <c r="J581" t="s">
        <v>198</v>
      </c>
    </row>
    <row r="582" spans="1:10">
      <c r="A582">
        <v>460205</v>
      </c>
      <c r="B582" t="s">
        <v>467</v>
      </c>
      <c r="C582" t="s">
        <v>468</v>
      </c>
      <c r="D582" t="s">
        <v>469</v>
      </c>
      <c r="E582" t="s">
        <v>13</v>
      </c>
      <c r="F582">
        <v>21.65144351</v>
      </c>
      <c r="G582">
        <v>87.651399549999994</v>
      </c>
      <c r="H582">
        <v>1</v>
      </c>
      <c r="I582" t="s">
        <v>14</v>
      </c>
      <c r="J582" t="s">
        <v>12</v>
      </c>
    </row>
    <row r="583" spans="1:10">
      <c r="A583">
        <v>459990</v>
      </c>
      <c r="B583" t="s">
        <v>470</v>
      </c>
      <c r="C583" t="s">
        <v>471</v>
      </c>
      <c r="D583" t="s">
        <v>12</v>
      </c>
      <c r="E583" t="s">
        <v>13</v>
      </c>
      <c r="F583">
        <v>13.6062729</v>
      </c>
      <c r="G583">
        <v>77.787274699999998</v>
      </c>
      <c r="H583">
        <v>2</v>
      </c>
      <c r="I583" t="s">
        <v>14</v>
      </c>
      <c r="J583" t="s">
        <v>195</v>
      </c>
    </row>
    <row r="584" spans="1:10">
      <c r="A584">
        <v>458918</v>
      </c>
      <c r="B584" t="s">
        <v>472</v>
      </c>
      <c r="C584" t="s">
        <v>473</v>
      </c>
      <c r="D584" t="s">
        <v>70</v>
      </c>
      <c r="E584" t="s">
        <v>13</v>
      </c>
      <c r="F584">
        <v>10.01148474</v>
      </c>
      <c r="G584">
        <v>76.311387499999995</v>
      </c>
      <c r="H584">
        <v>2</v>
      </c>
      <c r="I584" t="s">
        <v>14</v>
      </c>
      <c r="J584" t="s">
        <v>358</v>
      </c>
    </row>
    <row r="585" spans="1:10">
      <c r="A585">
        <v>458917</v>
      </c>
      <c r="B585" t="s">
        <v>474</v>
      </c>
      <c r="C585" t="s">
        <v>473</v>
      </c>
      <c r="D585" t="s">
        <v>70</v>
      </c>
      <c r="E585" t="s">
        <v>13</v>
      </c>
      <c r="F585">
        <v>10.03915497</v>
      </c>
      <c r="G585">
        <v>76.315558809999999</v>
      </c>
      <c r="H585">
        <v>1</v>
      </c>
      <c r="I585" t="s">
        <v>14</v>
      </c>
      <c r="J585" t="s">
        <v>358</v>
      </c>
    </row>
    <row r="586" spans="1:10">
      <c r="A586">
        <v>458916</v>
      </c>
      <c r="B586" t="s">
        <v>475</v>
      </c>
      <c r="C586" t="s">
        <v>476</v>
      </c>
      <c r="D586" t="s">
        <v>70</v>
      </c>
      <c r="E586" t="s">
        <v>13</v>
      </c>
      <c r="F586">
        <v>10.081302790000001</v>
      </c>
      <c r="G586">
        <v>76.339461990000004</v>
      </c>
      <c r="H586">
        <v>1</v>
      </c>
      <c r="I586" t="s">
        <v>14</v>
      </c>
      <c r="J586" t="s">
        <v>358</v>
      </c>
    </row>
    <row r="587" spans="1:10">
      <c r="A587">
        <v>458915</v>
      </c>
      <c r="B587" t="s">
        <v>477</v>
      </c>
      <c r="C587" t="s">
        <v>478</v>
      </c>
      <c r="D587" t="s">
        <v>70</v>
      </c>
      <c r="E587" t="s">
        <v>13</v>
      </c>
      <c r="F587">
        <v>10.15999504</v>
      </c>
      <c r="G587">
        <v>76.390154219999999</v>
      </c>
      <c r="H587">
        <v>1</v>
      </c>
      <c r="I587" t="s">
        <v>14</v>
      </c>
      <c r="J587" t="s">
        <v>358</v>
      </c>
    </row>
    <row r="588" spans="1:10">
      <c r="A588">
        <v>458914</v>
      </c>
      <c r="B588" t="s">
        <v>479</v>
      </c>
      <c r="C588" t="s">
        <v>478</v>
      </c>
      <c r="D588" t="s">
        <v>70</v>
      </c>
      <c r="E588" t="s">
        <v>13</v>
      </c>
      <c r="F588">
        <v>10.16222425</v>
      </c>
      <c r="G588">
        <v>76.384653499999999</v>
      </c>
      <c r="H588">
        <v>1</v>
      </c>
      <c r="I588" t="s">
        <v>14</v>
      </c>
      <c r="J588" t="s">
        <v>358</v>
      </c>
    </row>
    <row r="589" spans="1:10">
      <c r="A589">
        <v>458913</v>
      </c>
      <c r="B589" t="s">
        <v>480</v>
      </c>
      <c r="C589" t="s">
        <v>481</v>
      </c>
      <c r="D589" t="s">
        <v>70</v>
      </c>
      <c r="E589" t="s">
        <v>13</v>
      </c>
      <c r="F589">
        <v>10.16204205</v>
      </c>
      <c r="G589">
        <v>76.367356029999996</v>
      </c>
      <c r="H589">
        <v>1</v>
      </c>
      <c r="I589" t="s">
        <v>14</v>
      </c>
      <c r="J589" t="s">
        <v>358</v>
      </c>
    </row>
    <row r="590" spans="1:10">
      <c r="A590">
        <v>458912</v>
      </c>
      <c r="B590" t="s">
        <v>482</v>
      </c>
      <c r="C590" t="s">
        <v>483</v>
      </c>
      <c r="D590" t="s">
        <v>70</v>
      </c>
      <c r="E590" t="s">
        <v>13</v>
      </c>
      <c r="F590">
        <v>10.221060359999999</v>
      </c>
      <c r="G590">
        <v>76.37675213</v>
      </c>
      <c r="H590">
        <v>1</v>
      </c>
      <c r="I590" t="s">
        <v>14</v>
      </c>
      <c r="J590" t="s">
        <v>358</v>
      </c>
    </row>
    <row r="591" spans="1:10">
      <c r="A591">
        <v>458911</v>
      </c>
      <c r="B591" t="s">
        <v>484</v>
      </c>
      <c r="C591" t="s">
        <v>105</v>
      </c>
      <c r="D591" t="s">
        <v>70</v>
      </c>
      <c r="E591" t="s">
        <v>13</v>
      </c>
      <c r="F591">
        <v>10.23248948</v>
      </c>
      <c r="G591">
        <v>76.195940219999997</v>
      </c>
      <c r="H591">
        <v>1</v>
      </c>
      <c r="I591" t="s">
        <v>14</v>
      </c>
      <c r="J591" t="s">
        <v>358</v>
      </c>
    </row>
    <row r="592" spans="1:10">
      <c r="A592">
        <v>458910</v>
      </c>
      <c r="B592" t="s">
        <v>485</v>
      </c>
      <c r="C592" t="s">
        <v>264</v>
      </c>
      <c r="D592" t="s">
        <v>70</v>
      </c>
      <c r="E592" t="s">
        <v>13</v>
      </c>
      <c r="F592">
        <v>10.76983098</v>
      </c>
      <c r="G592">
        <v>76.668096500000004</v>
      </c>
      <c r="H592">
        <v>2</v>
      </c>
      <c r="I592" t="s">
        <v>14</v>
      </c>
      <c r="J592" t="s">
        <v>358</v>
      </c>
    </row>
    <row r="593" spans="1:10">
      <c r="A593">
        <v>458909</v>
      </c>
      <c r="B593" t="s">
        <v>486</v>
      </c>
      <c r="C593" t="s">
        <v>487</v>
      </c>
      <c r="D593" t="s">
        <v>70</v>
      </c>
      <c r="E593" t="s">
        <v>13</v>
      </c>
      <c r="F593">
        <v>10.782258199999999</v>
      </c>
      <c r="G593">
        <v>76.658245109999996</v>
      </c>
      <c r="H593">
        <v>1</v>
      </c>
      <c r="I593" t="s">
        <v>14</v>
      </c>
      <c r="J593" t="s">
        <v>358</v>
      </c>
    </row>
    <row r="594" spans="1:10">
      <c r="A594">
        <v>458908</v>
      </c>
      <c r="B594" t="s">
        <v>488</v>
      </c>
      <c r="C594" t="s">
        <v>489</v>
      </c>
      <c r="D594" t="s">
        <v>70</v>
      </c>
      <c r="E594" t="s">
        <v>13</v>
      </c>
      <c r="F594">
        <v>10.4361871</v>
      </c>
      <c r="G594">
        <v>76.265205829999999</v>
      </c>
      <c r="H594">
        <v>1</v>
      </c>
      <c r="I594" t="s">
        <v>14</v>
      </c>
      <c r="J594" t="s">
        <v>358</v>
      </c>
    </row>
    <row r="595" spans="1:10">
      <c r="A595">
        <v>458907</v>
      </c>
      <c r="B595" t="s">
        <v>490</v>
      </c>
      <c r="C595" t="s">
        <v>169</v>
      </c>
      <c r="D595" t="s">
        <v>70</v>
      </c>
      <c r="E595" t="s">
        <v>13</v>
      </c>
      <c r="F595">
        <v>10.496728470000001</v>
      </c>
      <c r="G595">
        <v>76.258361309999998</v>
      </c>
      <c r="H595">
        <v>2</v>
      </c>
      <c r="I595" t="s">
        <v>14</v>
      </c>
      <c r="J595" t="s">
        <v>358</v>
      </c>
    </row>
    <row r="596" spans="1:10">
      <c r="A596">
        <v>458906</v>
      </c>
      <c r="B596" t="s">
        <v>491</v>
      </c>
      <c r="C596" t="s">
        <v>169</v>
      </c>
      <c r="D596" t="s">
        <v>70</v>
      </c>
      <c r="E596" t="s">
        <v>13</v>
      </c>
      <c r="F596">
        <v>10.522940419999999</v>
      </c>
      <c r="G596">
        <v>76.206247669999996</v>
      </c>
      <c r="H596">
        <v>1</v>
      </c>
      <c r="I596" t="s">
        <v>14</v>
      </c>
      <c r="J596" t="s">
        <v>358</v>
      </c>
    </row>
    <row r="597" spans="1:10">
      <c r="A597">
        <v>458905</v>
      </c>
      <c r="B597" t="s">
        <v>492</v>
      </c>
      <c r="C597" t="s">
        <v>169</v>
      </c>
      <c r="D597" t="s">
        <v>70</v>
      </c>
      <c r="E597" t="s">
        <v>13</v>
      </c>
      <c r="F597">
        <v>10.54042299</v>
      </c>
      <c r="G597">
        <v>76.18967782</v>
      </c>
      <c r="H597">
        <v>2</v>
      </c>
      <c r="I597" t="s">
        <v>14</v>
      </c>
      <c r="J597" t="s">
        <v>358</v>
      </c>
    </row>
    <row r="598" spans="1:10">
      <c r="A598">
        <v>458904</v>
      </c>
      <c r="B598" t="s">
        <v>493</v>
      </c>
      <c r="C598" t="s">
        <v>111</v>
      </c>
      <c r="D598" t="s">
        <v>70</v>
      </c>
      <c r="E598" t="s">
        <v>13</v>
      </c>
      <c r="F598">
        <v>10.596356979999999</v>
      </c>
      <c r="G598">
        <v>76.042934430000003</v>
      </c>
      <c r="H598">
        <v>2</v>
      </c>
      <c r="I598" t="s">
        <v>14</v>
      </c>
      <c r="J598" t="s">
        <v>358</v>
      </c>
    </row>
    <row r="599" spans="1:10">
      <c r="A599">
        <v>314018</v>
      </c>
      <c r="B599" t="s">
        <v>494</v>
      </c>
      <c r="C599" t="s">
        <v>494</v>
      </c>
      <c r="D599" t="s">
        <v>232</v>
      </c>
      <c r="E599" t="s">
        <v>13</v>
      </c>
      <c r="F599">
        <v>19.75759399</v>
      </c>
      <c r="G599">
        <v>74.476347329999996</v>
      </c>
      <c r="H599">
        <v>1</v>
      </c>
      <c r="I599" t="s">
        <v>14</v>
      </c>
      <c r="J599" t="s">
        <v>12</v>
      </c>
    </row>
    <row r="600" spans="1:10">
      <c r="A600">
        <v>313995</v>
      </c>
      <c r="B600" t="s">
        <v>495</v>
      </c>
      <c r="C600" t="s">
        <v>259</v>
      </c>
      <c r="D600" t="s">
        <v>70</v>
      </c>
      <c r="E600" t="s">
        <v>13</v>
      </c>
      <c r="F600">
        <v>10.96023797</v>
      </c>
      <c r="G600">
        <v>76.234678810000005</v>
      </c>
      <c r="H600">
        <v>1</v>
      </c>
      <c r="I600" t="s">
        <v>14</v>
      </c>
      <c r="J600" t="s">
        <v>358</v>
      </c>
    </row>
    <row r="601" spans="1:10">
      <c r="A601">
        <v>313994</v>
      </c>
      <c r="B601" t="s">
        <v>496</v>
      </c>
      <c r="C601" t="s">
        <v>259</v>
      </c>
      <c r="D601" t="s">
        <v>70</v>
      </c>
      <c r="E601" t="s">
        <v>13</v>
      </c>
      <c r="F601">
        <v>10.98450272</v>
      </c>
      <c r="G601">
        <v>76.187847009999999</v>
      </c>
      <c r="H601">
        <v>1</v>
      </c>
      <c r="I601" t="s">
        <v>14</v>
      </c>
      <c r="J601" t="s">
        <v>358</v>
      </c>
    </row>
    <row r="602" spans="1:10">
      <c r="A602">
        <v>313993</v>
      </c>
      <c r="B602" t="s">
        <v>497</v>
      </c>
      <c r="C602" t="s">
        <v>498</v>
      </c>
      <c r="D602" t="s">
        <v>70</v>
      </c>
      <c r="E602" t="s">
        <v>13</v>
      </c>
      <c r="F602">
        <v>10.89791419</v>
      </c>
      <c r="G602">
        <v>76.061009670000004</v>
      </c>
      <c r="H602">
        <v>1</v>
      </c>
      <c r="I602" t="s">
        <v>14</v>
      </c>
      <c r="J602" t="s">
        <v>358</v>
      </c>
    </row>
    <row r="603" spans="1:10">
      <c r="A603">
        <v>313992</v>
      </c>
      <c r="B603" t="s">
        <v>499</v>
      </c>
      <c r="C603" t="s">
        <v>117</v>
      </c>
      <c r="D603" t="s">
        <v>70</v>
      </c>
      <c r="E603" t="s">
        <v>13</v>
      </c>
      <c r="F603">
        <v>10.918580609999999</v>
      </c>
      <c r="G603">
        <v>75.917798329999997</v>
      </c>
      <c r="H603">
        <v>1</v>
      </c>
      <c r="I603" t="s">
        <v>14</v>
      </c>
      <c r="J603" t="s">
        <v>358</v>
      </c>
    </row>
    <row r="604" spans="1:10">
      <c r="A604">
        <v>313991</v>
      </c>
      <c r="B604" t="s">
        <v>500</v>
      </c>
      <c r="C604" t="s">
        <v>501</v>
      </c>
      <c r="D604" t="s">
        <v>70</v>
      </c>
      <c r="E604" t="s">
        <v>13</v>
      </c>
      <c r="F604">
        <v>11.052515250000001</v>
      </c>
      <c r="G604">
        <v>76.077640450000004</v>
      </c>
      <c r="H604">
        <v>2</v>
      </c>
      <c r="I604" t="s">
        <v>14</v>
      </c>
      <c r="J604" t="s">
        <v>358</v>
      </c>
    </row>
    <row r="605" spans="1:10">
      <c r="A605">
        <v>313990</v>
      </c>
      <c r="B605" t="s">
        <v>502</v>
      </c>
      <c r="C605" t="s">
        <v>501</v>
      </c>
      <c r="D605" t="s">
        <v>70</v>
      </c>
      <c r="E605" t="s">
        <v>13</v>
      </c>
      <c r="F605">
        <v>11.060402529999999</v>
      </c>
      <c r="G605">
        <v>76.080844159999998</v>
      </c>
      <c r="H605">
        <v>1</v>
      </c>
      <c r="I605" t="s">
        <v>14</v>
      </c>
      <c r="J605" t="s">
        <v>358</v>
      </c>
    </row>
    <row r="606" spans="1:10">
      <c r="A606">
        <v>313989</v>
      </c>
      <c r="B606" t="s">
        <v>503</v>
      </c>
      <c r="C606" t="s">
        <v>504</v>
      </c>
      <c r="D606" t="s">
        <v>70</v>
      </c>
      <c r="E606" t="s">
        <v>13</v>
      </c>
      <c r="F606">
        <v>11.118906109999999</v>
      </c>
      <c r="G606">
        <v>76.118473739999999</v>
      </c>
      <c r="H606">
        <v>2</v>
      </c>
      <c r="I606" t="s">
        <v>14</v>
      </c>
      <c r="J606" t="s">
        <v>358</v>
      </c>
    </row>
    <row r="607" spans="1:10">
      <c r="A607">
        <v>313988</v>
      </c>
      <c r="B607" t="s">
        <v>505</v>
      </c>
      <c r="C607" t="s">
        <v>506</v>
      </c>
      <c r="D607" t="s">
        <v>70</v>
      </c>
      <c r="E607" t="s">
        <v>13</v>
      </c>
      <c r="F607">
        <v>11.2041462</v>
      </c>
      <c r="G607">
        <v>76.136733530000001</v>
      </c>
      <c r="H607">
        <v>2</v>
      </c>
      <c r="I607" t="s">
        <v>14</v>
      </c>
      <c r="J607" t="s">
        <v>358</v>
      </c>
    </row>
    <row r="608" spans="1:10">
      <c r="A608">
        <v>313980</v>
      </c>
      <c r="B608" t="s">
        <v>507</v>
      </c>
      <c r="C608" t="s">
        <v>508</v>
      </c>
      <c r="D608" t="s">
        <v>70</v>
      </c>
      <c r="E608" t="s">
        <v>13</v>
      </c>
      <c r="F608">
        <v>11.223249600000001</v>
      </c>
      <c r="G608">
        <v>76.21691525</v>
      </c>
      <c r="H608">
        <v>1</v>
      </c>
      <c r="I608" t="s">
        <v>14</v>
      </c>
      <c r="J608" t="s">
        <v>358</v>
      </c>
    </row>
    <row r="609" spans="1:10">
      <c r="A609">
        <v>313979</v>
      </c>
      <c r="B609" t="s">
        <v>509</v>
      </c>
      <c r="C609" t="s">
        <v>508</v>
      </c>
      <c r="D609" t="s">
        <v>70</v>
      </c>
      <c r="E609" t="s">
        <v>13</v>
      </c>
      <c r="F609">
        <v>11.211054369999999</v>
      </c>
      <c r="G609">
        <v>76.224685070000007</v>
      </c>
      <c r="H609">
        <v>1</v>
      </c>
      <c r="I609" t="s">
        <v>425</v>
      </c>
      <c r="J609" t="s">
        <v>358</v>
      </c>
    </row>
    <row r="610" spans="1:10">
      <c r="A610">
        <v>313978</v>
      </c>
      <c r="B610" t="s">
        <v>510</v>
      </c>
      <c r="C610" t="s">
        <v>511</v>
      </c>
      <c r="D610" t="s">
        <v>70</v>
      </c>
      <c r="E610" t="s">
        <v>13</v>
      </c>
      <c r="F610">
        <v>11.14029227</v>
      </c>
      <c r="G610">
        <v>75.948313709999994</v>
      </c>
      <c r="H610">
        <v>2</v>
      </c>
      <c r="I610" t="s">
        <v>14</v>
      </c>
      <c r="J610" t="s">
        <v>358</v>
      </c>
    </row>
    <row r="611" spans="1:10">
      <c r="A611">
        <v>313955</v>
      </c>
      <c r="B611" t="s">
        <v>512</v>
      </c>
      <c r="C611" t="s">
        <v>197</v>
      </c>
      <c r="D611" t="s">
        <v>70</v>
      </c>
      <c r="E611" t="s">
        <v>13</v>
      </c>
      <c r="F611">
        <v>11.216965269999999</v>
      </c>
      <c r="G611">
        <v>75.857951060000005</v>
      </c>
      <c r="H611">
        <v>2</v>
      </c>
      <c r="I611" t="s">
        <v>14</v>
      </c>
      <c r="J611" t="s">
        <v>358</v>
      </c>
    </row>
    <row r="612" spans="1:10">
      <c r="A612">
        <v>313954</v>
      </c>
      <c r="B612" t="s">
        <v>513</v>
      </c>
      <c r="C612" t="s">
        <v>514</v>
      </c>
      <c r="D612" t="s">
        <v>70</v>
      </c>
      <c r="E612" t="s">
        <v>13</v>
      </c>
      <c r="F612">
        <v>11.213908529999999</v>
      </c>
      <c r="G612">
        <v>75.802632110000005</v>
      </c>
      <c r="H612">
        <v>1</v>
      </c>
      <c r="I612" t="s">
        <v>14</v>
      </c>
      <c r="J612" t="s">
        <v>358</v>
      </c>
    </row>
    <row r="613" spans="1:10">
      <c r="A613">
        <v>313953</v>
      </c>
      <c r="B613" t="s">
        <v>515</v>
      </c>
      <c r="C613" t="s">
        <v>197</v>
      </c>
      <c r="D613" t="s">
        <v>70</v>
      </c>
      <c r="E613" t="s">
        <v>13</v>
      </c>
      <c r="F613">
        <v>11.233626859999999</v>
      </c>
      <c r="G613">
        <v>75.803238530000002</v>
      </c>
      <c r="H613">
        <v>1</v>
      </c>
      <c r="I613" t="s">
        <v>14</v>
      </c>
      <c r="J613" t="s">
        <v>358</v>
      </c>
    </row>
    <row r="614" spans="1:10">
      <c r="A614">
        <v>313952</v>
      </c>
      <c r="B614" t="s">
        <v>516</v>
      </c>
      <c r="C614" t="s">
        <v>197</v>
      </c>
      <c r="D614" t="s">
        <v>70</v>
      </c>
      <c r="E614" t="s">
        <v>13</v>
      </c>
      <c r="F614">
        <v>11.258465129999999</v>
      </c>
      <c r="G614">
        <v>75.792906119999998</v>
      </c>
      <c r="H614">
        <v>5</v>
      </c>
      <c r="I614" t="s">
        <v>14</v>
      </c>
      <c r="J614" t="s">
        <v>358</v>
      </c>
    </row>
    <row r="615" spans="1:10">
      <c r="A615">
        <v>313951</v>
      </c>
      <c r="B615" t="s">
        <v>517</v>
      </c>
      <c r="C615" t="s">
        <v>197</v>
      </c>
      <c r="D615" t="s">
        <v>70</v>
      </c>
      <c r="E615" t="s">
        <v>13</v>
      </c>
      <c r="F615">
        <v>11.259214500000001</v>
      </c>
      <c r="G615">
        <v>75.779334520000006</v>
      </c>
      <c r="H615">
        <v>2</v>
      </c>
      <c r="I615" t="s">
        <v>14</v>
      </c>
      <c r="J615" t="s">
        <v>358</v>
      </c>
    </row>
    <row r="616" spans="1:10">
      <c r="A616">
        <v>313950</v>
      </c>
      <c r="B616" t="s">
        <v>518</v>
      </c>
      <c r="C616" t="s">
        <v>197</v>
      </c>
      <c r="D616" t="s">
        <v>70</v>
      </c>
      <c r="E616" t="s">
        <v>13</v>
      </c>
      <c r="F616">
        <v>11.258689820000001</v>
      </c>
      <c r="G616">
        <v>75.773978709999994</v>
      </c>
      <c r="H616">
        <v>2</v>
      </c>
      <c r="I616" t="s">
        <v>14</v>
      </c>
      <c r="J616" t="s">
        <v>358</v>
      </c>
    </row>
    <row r="617" spans="1:10">
      <c r="A617">
        <v>313949</v>
      </c>
      <c r="B617" t="s">
        <v>518</v>
      </c>
      <c r="C617" t="s">
        <v>197</v>
      </c>
      <c r="D617" t="s">
        <v>70</v>
      </c>
      <c r="E617" t="s">
        <v>13</v>
      </c>
      <c r="F617">
        <v>11.259029050000001</v>
      </c>
      <c r="G617">
        <v>75.773708389999996</v>
      </c>
      <c r="H617">
        <v>2</v>
      </c>
      <c r="I617" t="s">
        <v>14</v>
      </c>
      <c r="J617" t="s">
        <v>358</v>
      </c>
    </row>
    <row r="618" spans="1:10">
      <c r="A618">
        <v>313947</v>
      </c>
      <c r="B618" t="s">
        <v>519</v>
      </c>
      <c r="C618" t="s">
        <v>520</v>
      </c>
      <c r="D618" t="s">
        <v>70</v>
      </c>
      <c r="E618" t="s">
        <v>13</v>
      </c>
      <c r="F618">
        <v>11.46505013</v>
      </c>
      <c r="G618">
        <v>75.970174700000001</v>
      </c>
      <c r="H618">
        <v>1</v>
      </c>
      <c r="I618" t="s">
        <v>14</v>
      </c>
      <c r="J618" t="s">
        <v>358</v>
      </c>
    </row>
    <row r="619" spans="1:10">
      <c r="A619">
        <v>313946</v>
      </c>
      <c r="B619" t="s">
        <v>521</v>
      </c>
      <c r="C619" t="s">
        <v>522</v>
      </c>
      <c r="D619" t="s">
        <v>70</v>
      </c>
      <c r="E619" t="s">
        <v>13</v>
      </c>
      <c r="F619">
        <v>11.660943019999999</v>
      </c>
      <c r="G619">
        <v>76.240022819999993</v>
      </c>
      <c r="H619">
        <v>1</v>
      </c>
      <c r="I619" t="s">
        <v>14</v>
      </c>
      <c r="J619" t="s">
        <v>358</v>
      </c>
    </row>
    <row r="620" spans="1:10">
      <c r="A620">
        <v>313945</v>
      </c>
      <c r="B620" t="s">
        <v>523</v>
      </c>
      <c r="C620" t="s">
        <v>524</v>
      </c>
      <c r="D620" t="s">
        <v>70</v>
      </c>
      <c r="E620" t="s">
        <v>13</v>
      </c>
      <c r="F620">
        <v>11.659328260000001</v>
      </c>
      <c r="G620">
        <v>76.207185229999993</v>
      </c>
      <c r="H620">
        <v>2</v>
      </c>
      <c r="I620" t="s">
        <v>14</v>
      </c>
      <c r="J620" t="s">
        <v>358</v>
      </c>
    </row>
    <row r="621" spans="1:10">
      <c r="A621">
        <v>313944</v>
      </c>
      <c r="B621" t="s">
        <v>525</v>
      </c>
      <c r="C621" t="s">
        <v>526</v>
      </c>
      <c r="D621" t="s">
        <v>70</v>
      </c>
      <c r="E621" t="s">
        <v>13</v>
      </c>
      <c r="F621">
        <v>11.63735277</v>
      </c>
      <c r="G621">
        <v>76.094685380000001</v>
      </c>
      <c r="H621">
        <v>1</v>
      </c>
      <c r="I621" t="s">
        <v>14</v>
      </c>
      <c r="J621" t="s">
        <v>358</v>
      </c>
    </row>
    <row r="622" spans="1:10">
      <c r="A622">
        <v>313943</v>
      </c>
      <c r="B622" t="s">
        <v>527</v>
      </c>
      <c r="C622" t="s">
        <v>528</v>
      </c>
      <c r="D622" t="s">
        <v>70</v>
      </c>
      <c r="E622" t="s">
        <v>13</v>
      </c>
      <c r="F622">
        <v>11.65763336</v>
      </c>
      <c r="G622">
        <v>75.960431779999993</v>
      </c>
      <c r="H622">
        <v>2</v>
      </c>
      <c r="I622" t="s">
        <v>14</v>
      </c>
      <c r="J622" t="s">
        <v>358</v>
      </c>
    </row>
    <row r="623" spans="1:10">
      <c r="A623">
        <v>313942</v>
      </c>
      <c r="B623" t="s">
        <v>529</v>
      </c>
      <c r="C623" t="s">
        <v>530</v>
      </c>
      <c r="D623" t="s">
        <v>70</v>
      </c>
      <c r="E623" t="s">
        <v>13</v>
      </c>
      <c r="F623">
        <v>11.76173425</v>
      </c>
      <c r="G623">
        <v>75.509068380000002</v>
      </c>
      <c r="H623">
        <v>1</v>
      </c>
      <c r="I623" t="s">
        <v>14</v>
      </c>
      <c r="J623" t="s">
        <v>358</v>
      </c>
    </row>
    <row r="624" spans="1:10">
      <c r="A624">
        <v>313941</v>
      </c>
      <c r="B624" t="s">
        <v>531</v>
      </c>
      <c r="C624" t="s">
        <v>532</v>
      </c>
      <c r="D624" t="s">
        <v>70</v>
      </c>
      <c r="E624" t="s">
        <v>13</v>
      </c>
      <c r="F624">
        <v>11.86015018</v>
      </c>
      <c r="G624">
        <v>75.414341219999997</v>
      </c>
      <c r="H624">
        <v>1</v>
      </c>
      <c r="I624" t="s">
        <v>14</v>
      </c>
      <c r="J624" t="s">
        <v>358</v>
      </c>
    </row>
    <row r="625" spans="1:10">
      <c r="A625">
        <v>313940</v>
      </c>
      <c r="B625" t="s">
        <v>533</v>
      </c>
      <c r="C625" t="s">
        <v>534</v>
      </c>
      <c r="D625" t="s">
        <v>70</v>
      </c>
      <c r="E625" t="s">
        <v>13</v>
      </c>
      <c r="F625">
        <v>11.990685920000001</v>
      </c>
      <c r="G625">
        <v>75.658021829999996</v>
      </c>
      <c r="H625">
        <v>1</v>
      </c>
      <c r="I625" t="s">
        <v>14</v>
      </c>
      <c r="J625" t="s">
        <v>358</v>
      </c>
    </row>
    <row r="626" spans="1:10">
      <c r="A626">
        <v>313925</v>
      </c>
      <c r="B626" t="s">
        <v>535</v>
      </c>
      <c r="C626" t="s">
        <v>536</v>
      </c>
      <c r="D626" t="s">
        <v>70</v>
      </c>
      <c r="E626" t="s">
        <v>13</v>
      </c>
      <c r="F626">
        <v>11.832856720000001</v>
      </c>
      <c r="G626">
        <v>75.426441699999998</v>
      </c>
      <c r="H626">
        <v>2</v>
      </c>
      <c r="I626" t="s">
        <v>14</v>
      </c>
      <c r="J626" t="s">
        <v>358</v>
      </c>
    </row>
    <row r="627" spans="1:10">
      <c r="A627">
        <v>313924</v>
      </c>
      <c r="B627" t="s">
        <v>537</v>
      </c>
      <c r="C627" t="s">
        <v>538</v>
      </c>
      <c r="D627" t="s">
        <v>70</v>
      </c>
      <c r="E627" t="s">
        <v>13</v>
      </c>
      <c r="F627">
        <v>11.86083034</v>
      </c>
      <c r="G627">
        <v>75.411867779999994</v>
      </c>
      <c r="H627">
        <v>2</v>
      </c>
      <c r="I627" t="s">
        <v>14</v>
      </c>
      <c r="J627" t="s">
        <v>358</v>
      </c>
    </row>
    <row r="628" spans="1:10">
      <c r="A628">
        <v>313923</v>
      </c>
      <c r="B628" t="s">
        <v>539</v>
      </c>
      <c r="C628" t="s">
        <v>235</v>
      </c>
      <c r="D628" t="s">
        <v>70</v>
      </c>
      <c r="E628" t="s">
        <v>13</v>
      </c>
      <c r="F628">
        <v>12.120003260000001</v>
      </c>
      <c r="G628">
        <v>75.217554509999999</v>
      </c>
      <c r="H628">
        <v>1</v>
      </c>
      <c r="I628" t="s">
        <v>14</v>
      </c>
      <c r="J628" t="s">
        <v>358</v>
      </c>
    </row>
    <row r="629" spans="1:10">
      <c r="A629">
        <v>313922</v>
      </c>
      <c r="B629" t="s">
        <v>540</v>
      </c>
      <c r="C629" t="s">
        <v>541</v>
      </c>
      <c r="D629" t="s">
        <v>70</v>
      </c>
      <c r="E629" t="s">
        <v>13</v>
      </c>
      <c r="F629">
        <v>12.175048479999999</v>
      </c>
      <c r="G629">
        <v>75.193433330000005</v>
      </c>
      <c r="H629">
        <v>1</v>
      </c>
      <c r="I629" t="s">
        <v>14</v>
      </c>
      <c r="J629" t="s">
        <v>358</v>
      </c>
    </row>
    <row r="630" spans="1:10">
      <c r="A630">
        <v>313921</v>
      </c>
      <c r="B630" t="s">
        <v>542</v>
      </c>
      <c r="C630" t="s">
        <v>543</v>
      </c>
      <c r="D630" t="s">
        <v>70</v>
      </c>
      <c r="E630" t="s">
        <v>13</v>
      </c>
      <c r="F630">
        <v>12.423383279999999</v>
      </c>
      <c r="G630">
        <v>75.014754800000006</v>
      </c>
      <c r="H630">
        <v>2</v>
      </c>
      <c r="I630" t="s">
        <v>14</v>
      </c>
      <c r="J630" t="s">
        <v>358</v>
      </c>
    </row>
    <row r="631" spans="1:10">
      <c r="A631">
        <v>313920</v>
      </c>
      <c r="B631" t="s">
        <v>544</v>
      </c>
      <c r="C631" t="s">
        <v>545</v>
      </c>
      <c r="D631" t="s">
        <v>70</v>
      </c>
      <c r="E631" t="s">
        <v>13</v>
      </c>
      <c r="F631">
        <v>12.51345441</v>
      </c>
      <c r="G631">
        <v>75.027122939999998</v>
      </c>
      <c r="H631">
        <v>1</v>
      </c>
      <c r="I631" t="s">
        <v>425</v>
      </c>
      <c r="J631" t="s">
        <v>358</v>
      </c>
    </row>
    <row r="632" spans="1:10">
      <c r="A632">
        <v>313919</v>
      </c>
      <c r="B632" t="s">
        <v>546</v>
      </c>
      <c r="C632" t="s">
        <v>545</v>
      </c>
      <c r="D632" t="s">
        <v>70</v>
      </c>
      <c r="E632" t="s">
        <v>13</v>
      </c>
      <c r="F632">
        <v>12.509407899999999</v>
      </c>
      <c r="G632">
        <v>74.986111140000006</v>
      </c>
      <c r="H632">
        <v>1</v>
      </c>
      <c r="I632" t="s">
        <v>14</v>
      </c>
      <c r="J632" t="s">
        <v>358</v>
      </c>
    </row>
    <row r="633" spans="1:10">
      <c r="A633">
        <v>313918</v>
      </c>
      <c r="B633" t="s">
        <v>547</v>
      </c>
      <c r="C633" t="s">
        <v>187</v>
      </c>
      <c r="D633" t="s">
        <v>70</v>
      </c>
      <c r="E633" t="s">
        <v>13</v>
      </c>
      <c r="F633">
        <v>8.3532086480000007</v>
      </c>
      <c r="G633">
        <v>77.053790120000002</v>
      </c>
      <c r="H633">
        <v>3</v>
      </c>
      <c r="I633" t="s">
        <v>14</v>
      </c>
      <c r="J633" t="s">
        <v>71</v>
      </c>
    </row>
    <row r="634" spans="1:10">
      <c r="A634">
        <v>313917</v>
      </c>
      <c r="B634" t="s">
        <v>548</v>
      </c>
      <c r="C634" t="s">
        <v>549</v>
      </c>
      <c r="D634" t="s">
        <v>70</v>
      </c>
      <c r="E634" t="s">
        <v>13</v>
      </c>
      <c r="F634">
        <v>8.394252775</v>
      </c>
      <c r="G634">
        <v>77.088728970000005</v>
      </c>
      <c r="H634">
        <v>4</v>
      </c>
      <c r="I634" t="s">
        <v>14</v>
      </c>
      <c r="J634" t="s">
        <v>71</v>
      </c>
    </row>
    <row r="635" spans="1:10">
      <c r="A635">
        <v>313916</v>
      </c>
      <c r="B635" t="s">
        <v>550</v>
      </c>
      <c r="C635" t="s">
        <v>187</v>
      </c>
      <c r="D635" t="s">
        <v>70</v>
      </c>
      <c r="E635" t="s">
        <v>13</v>
      </c>
      <c r="F635">
        <v>8.4886610069999993</v>
      </c>
      <c r="G635">
        <v>76.950751670000002</v>
      </c>
      <c r="H635">
        <v>1</v>
      </c>
      <c r="I635" t="s">
        <v>14</v>
      </c>
      <c r="J635" t="s">
        <v>71</v>
      </c>
    </row>
    <row r="636" spans="1:10">
      <c r="A636">
        <v>313915</v>
      </c>
      <c r="B636" t="s">
        <v>551</v>
      </c>
      <c r="C636" t="s">
        <v>187</v>
      </c>
      <c r="D636" t="s">
        <v>70</v>
      </c>
      <c r="E636" t="s">
        <v>13</v>
      </c>
      <c r="F636">
        <v>8.515262882</v>
      </c>
      <c r="G636">
        <v>76.898158440000003</v>
      </c>
      <c r="H636">
        <v>11</v>
      </c>
      <c r="I636" t="s">
        <v>14</v>
      </c>
      <c r="J636" t="s">
        <v>71</v>
      </c>
    </row>
    <row r="637" spans="1:10">
      <c r="A637">
        <v>313914</v>
      </c>
      <c r="B637" t="s">
        <v>552</v>
      </c>
      <c r="C637" t="s">
        <v>187</v>
      </c>
      <c r="D637" t="s">
        <v>70</v>
      </c>
      <c r="E637" t="s">
        <v>13</v>
      </c>
      <c r="F637">
        <v>8.5399930479999995</v>
      </c>
      <c r="G637">
        <v>76.884424999999993</v>
      </c>
      <c r="H637">
        <v>6</v>
      </c>
      <c r="I637" t="s">
        <v>14</v>
      </c>
      <c r="J637" t="s">
        <v>71</v>
      </c>
    </row>
    <row r="638" spans="1:10">
      <c r="A638">
        <v>313913</v>
      </c>
      <c r="B638" t="s">
        <v>553</v>
      </c>
      <c r="C638" t="s">
        <v>554</v>
      </c>
      <c r="D638" t="s">
        <v>70</v>
      </c>
      <c r="E638" t="s">
        <v>13</v>
      </c>
      <c r="F638">
        <v>8.7288458660000003</v>
      </c>
      <c r="G638">
        <v>76.898447509999997</v>
      </c>
      <c r="H638">
        <v>2</v>
      </c>
      <c r="I638" t="s">
        <v>14</v>
      </c>
      <c r="J638" t="s">
        <v>71</v>
      </c>
    </row>
    <row r="639" spans="1:10">
      <c r="A639">
        <v>313912</v>
      </c>
      <c r="B639" t="s">
        <v>555</v>
      </c>
      <c r="C639" t="s">
        <v>554</v>
      </c>
      <c r="D639" t="s">
        <v>70</v>
      </c>
      <c r="E639" t="s">
        <v>13</v>
      </c>
      <c r="F639">
        <v>8.7345233780000004</v>
      </c>
      <c r="G639">
        <v>76.898016470000002</v>
      </c>
      <c r="H639">
        <v>1</v>
      </c>
      <c r="I639" t="s">
        <v>14</v>
      </c>
      <c r="J639" t="s">
        <v>71</v>
      </c>
    </row>
    <row r="640" spans="1:10">
      <c r="A640">
        <v>313911</v>
      </c>
      <c r="B640" t="s">
        <v>556</v>
      </c>
      <c r="C640" t="s">
        <v>557</v>
      </c>
      <c r="D640" t="s">
        <v>70</v>
      </c>
      <c r="E640" t="s">
        <v>13</v>
      </c>
      <c r="F640">
        <v>8.6868080459999995</v>
      </c>
      <c r="G640">
        <v>76.824022330000005</v>
      </c>
      <c r="H640">
        <v>2</v>
      </c>
      <c r="I640" t="s">
        <v>14</v>
      </c>
      <c r="J640" t="s">
        <v>71</v>
      </c>
    </row>
    <row r="641" spans="1:10">
      <c r="A641">
        <v>313910</v>
      </c>
      <c r="B641" t="s">
        <v>558</v>
      </c>
      <c r="C641" t="s">
        <v>557</v>
      </c>
      <c r="D641" t="s">
        <v>70</v>
      </c>
      <c r="E641" t="s">
        <v>13</v>
      </c>
      <c r="F641">
        <v>8.7330676589999996</v>
      </c>
      <c r="G641">
        <v>76.810646550000001</v>
      </c>
      <c r="H641">
        <v>1</v>
      </c>
      <c r="I641" t="s">
        <v>14</v>
      </c>
      <c r="J641" t="s">
        <v>71</v>
      </c>
    </row>
    <row r="642" spans="1:10">
      <c r="A642">
        <v>313909</v>
      </c>
      <c r="B642" t="s">
        <v>559</v>
      </c>
      <c r="C642" t="s">
        <v>560</v>
      </c>
      <c r="D642" t="s">
        <v>70</v>
      </c>
      <c r="E642" t="s">
        <v>13</v>
      </c>
      <c r="F642">
        <v>8.8634269900000007</v>
      </c>
      <c r="G642">
        <v>76.871207839999997</v>
      </c>
      <c r="H642">
        <v>3</v>
      </c>
      <c r="I642" t="s">
        <v>14</v>
      </c>
      <c r="J642" t="s">
        <v>71</v>
      </c>
    </row>
    <row r="643" spans="1:10">
      <c r="A643">
        <v>313908</v>
      </c>
      <c r="B643" t="s">
        <v>561</v>
      </c>
      <c r="C643" t="s">
        <v>562</v>
      </c>
      <c r="D643" t="s">
        <v>70</v>
      </c>
      <c r="E643" t="s">
        <v>13</v>
      </c>
      <c r="F643">
        <v>8.7490860500000007</v>
      </c>
      <c r="G643">
        <v>76.705818590000007</v>
      </c>
      <c r="H643">
        <v>2</v>
      </c>
      <c r="I643" t="s">
        <v>14</v>
      </c>
      <c r="J643" t="s">
        <v>71</v>
      </c>
    </row>
    <row r="644" spans="1:10">
      <c r="A644">
        <v>313907</v>
      </c>
      <c r="B644" t="s">
        <v>563</v>
      </c>
      <c r="C644" t="s">
        <v>564</v>
      </c>
      <c r="D644" t="s">
        <v>70</v>
      </c>
      <c r="E644" t="s">
        <v>13</v>
      </c>
      <c r="F644">
        <v>8.9821433410000004</v>
      </c>
      <c r="G644">
        <v>76.809329660000003</v>
      </c>
      <c r="H644">
        <v>2</v>
      </c>
      <c r="I644" t="s">
        <v>14</v>
      </c>
      <c r="J644" t="s">
        <v>71</v>
      </c>
    </row>
    <row r="645" spans="1:10">
      <c r="A645">
        <v>313906</v>
      </c>
      <c r="B645" t="s">
        <v>565</v>
      </c>
      <c r="C645" t="s">
        <v>566</v>
      </c>
      <c r="D645" t="s">
        <v>70</v>
      </c>
      <c r="E645" t="s">
        <v>13</v>
      </c>
      <c r="F645">
        <v>8.9482466259999995</v>
      </c>
      <c r="G645">
        <v>76.64624714</v>
      </c>
      <c r="H645">
        <v>2</v>
      </c>
      <c r="I645" t="s">
        <v>14</v>
      </c>
      <c r="J645" t="s">
        <v>71</v>
      </c>
    </row>
    <row r="646" spans="1:10">
      <c r="A646">
        <v>313905</v>
      </c>
      <c r="B646" t="s">
        <v>567</v>
      </c>
      <c r="C646" t="s">
        <v>568</v>
      </c>
      <c r="D646" t="s">
        <v>70</v>
      </c>
      <c r="E646" t="s">
        <v>13</v>
      </c>
      <c r="F646">
        <v>9.0709916459999995</v>
      </c>
      <c r="G646">
        <v>76.856311230000003</v>
      </c>
      <c r="H646">
        <v>2</v>
      </c>
      <c r="I646" t="s">
        <v>14</v>
      </c>
      <c r="J646" t="s">
        <v>71</v>
      </c>
    </row>
    <row r="647" spans="1:10">
      <c r="A647">
        <v>313904</v>
      </c>
      <c r="B647" t="s">
        <v>569</v>
      </c>
      <c r="C647" t="s">
        <v>570</v>
      </c>
      <c r="D647" t="s">
        <v>70</v>
      </c>
      <c r="E647" t="s">
        <v>13</v>
      </c>
      <c r="F647">
        <v>9.0513674030000004</v>
      </c>
      <c r="G647">
        <v>76.703246960000001</v>
      </c>
      <c r="H647">
        <v>2</v>
      </c>
      <c r="I647" t="s">
        <v>14</v>
      </c>
      <c r="J647" t="s">
        <v>71</v>
      </c>
    </row>
    <row r="648" spans="1:10">
      <c r="A648">
        <v>313903</v>
      </c>
      <c r="B648" t="s">
        <v>571</v>
      </c>
      <c r="C648" t="s">
        <v>572</v>
      </c>
      <c r="D648" t="s">
        <v>70</v>
      </c>
      <c r="E648" t="s">
        <v>13</v>
      </c>
      <c r="F648">
        <v>9.0451284330000004</v>
      </c>
      <c r="G648">
        <v>76.773600040000005</v>
      </c>
      <c r="H648">
        <v>4</v>
      </c>
      <c r="I648" t="s">
        <v>14</v>
      </c>
      <c r="J648" t="s">
        <v>71</v>
      </c>
    </row>
    <row r="649" spans="1:10">
      <c r="A649">
        <v>313902</v>
      </c>
      <c r="B649" t="s">
        <v>573</v>
      </c>
      <c r="C649" t="s">
        <v>326</v>
      </c>
      <c r="D649" t="s">
        <v>70</v>
      </c>
      <c r="E649" t="s">
        <v>13</v>
      </c>
      <c r="F649">
        <v>9.1168470490000004</v>
      </c>
      <c r="G649">
        <v>76.745111879999996</v>
      </c>
      <c r="H649">
        <v>3</v>
      </c>
      <c r="I649" t="s">
        <v>14</v>
      </c>
      <c r="J649" t="s">
        <v>71</v>
      </c>
    </row>
    <row r="650" spans="1:10">
      <c r="A650">
        <v>313901</v>
      </c>
      <c r="B650" t="s">
        <v>574</v>
      </c>
      <c r="C650" t="s">
        <v>326</v>
      </c>
      <c r="D650" t="s">
        <v>70</v>
      </c>
      <c r="E650" t="s">
        <v>13</v>
      </c>
      <c r="F650">
        <v>9.1453059640000003</v>
      </c>
      <c r="G650">
        <v>76.765858390000005</v>
      </c>
      <c r="H650">
        <v>1</v>
      </c>
      <c r="I650" t="s">
        <v>14</v>
      </c>
      <c r="J650" t="s">
        <v>71</v>
      </c>
    </row>
    <row r="651" spans="1:10">
      <c r="A651">
        <v>313900</v>
      </c>
      <c r="B651" t="s">
        <v>575</v>
      </c>
      <c r="C651" t="s">
        <v>326</v>
      </c>
      <c r="D651" t="s">
        <v>70</v>
      </c>
      <c r="E651" t="s">
        <v>13</v>
      </c>
      <c r="F651">
        <v>9.1535641539999997</v>
      </c>
      <c r="G651">
        <v>76.735544360000006</v>
      </c>
      <c r="H651">
        <v>3</v>
      </c>
      <c r="I651" t="s">
        <v>14</v>
      </c>
      <c r="J651" t="s">
        <v>71</v>
      </c>
    </row>
    <row r="652" spans="1:10">
      <c r="A652">
        <v>313899</v>
      </c>
      <c r="B652" t="s">
        <v>576</v>
      </c>
      <c r="C652" t="s">
        <v>577</v>
      </c>
      <c r="D652" t="s">
        <v>70</v>
      </c>
      <c r="E652" t="s">
        <v>13</v>
      </c>
      <c r="F652">
        <v>9.145794596</v>
      </c>
      <c r="G652">
        <v>76.45936322</v>
      </c>
      <c r="H652">
        <v>2</v>
      </c>
      <c r="I652" t="s">
        <v>14</v>
      </c>
      <c r="J652" t="s">
        <v>71</v>
      </c>
    </row>
    <row r="653" spans="1:10">
      <c r="A653">
        <v>313898</v>
      </c>
      <c r="B653" t="s">
        <v>578</v>
      </c>
      <c r="C653" t="s">
        <v>328</v>
      </c>
      <c r="D653" t="s">
        <v>70</v>
      </c>
      <c r="E653" t="s">
        <v>13</v>
      </c>
      <c r="F653">
        <v>9.1323074109999993</v>
      </c>
      <c r="G653">
        <v>76.513858290000002</v>
      </c>
      <c r="H653">
        <v>1</v>
      </c>
      <c r="I653" t="s">
        <v>14</v>
      </c>
      <c r="J653" t="s">
        <v>71</v>
      </c>
    </row>
    <row r="654" spans="1:10">
      <c r="A654">
        <v>313897</v>
      </c>
      <c r="B654" t="s">
        <v>579</v>
      </c>
      <c r="C654" t="s">
        <v>577</v>
      </c>
      <c r="D654" t="s">
        <v>70</v>
      </c>
      <c r="E654" t="s">
        <v>13</v>
      </c>
      <c r="F654">
        <v>9.1847397290000004</v>
      </c>
      <c r="G654">
        <v>76.490296839999999</v>
      </c>
      <c r="H654">
        <v>4</v>
      </c>
      <c r="I654" t="s">
        <v>14</v>
      </c>
      <c r="J654" t="s">
        <v>71</v>
      </c>
    </row>
    <row r="655" spans="1:10">
      <c r="A655">
        <v>313896</v>
      </c>
      <c r="B655" t="s">
        <v>580</v>
      </c>
      <c r="C655" t="s">
        <v>581</v>
      </c>
      <c r="D655" t="s">
        <v>70</v>
      </c>
      <c r="E655" t="s">
        <v>13</v>
      </c>
      <c r="F655">
        <v>9.2890008339999994</v>
      </c>
      <c r="G655">
        <v>76.456535689999995</v>
      </c>
      <c r="H655">
        <v>2</v>
      </c>
      <c r="I655" t="s">
        <v>14</v>
      </c>
      <c r="J655" t="s">
        <v>71</v>
      </c>
    </row>
    <row r="656" spans="1:10">
      <c r="A656">
        <v>313895</v>
      </c>
      <c r="B656" t="s">
        <v>582</v>
      </c>
      <c r="C656" t="s">
        <v>583</v>
      </c>
      <c r="D656" t="s">
        <v>70</v>
      </c>
      <c r="E656" t="s">
        <v>13</v>
      </c>
      <c r="F656">
        <v>9.2469354020000001</v>
      </c>
      <c r="G656">
        <v>76.757307789999999</v>
      </c>
      <c r="H656">
        <v>2</v>
      </c>
      <c r="I656" t="s">
        <v>14</v>
      </c>
      <c r="J656" t="s">
        <v>71</v>
      </c>
    </row>
    <row r="657" spans="1:10">
      <c r="A657">
        <v>313894</v>
      </c>
      <c r="B657" t="s">
        <v>584</v>
      </c>
      <c r="C657" t="s">
        <v>585</v>
      </c>
      <c r="D657" t="s">
        <v>70</v>
      </c>
      <c r="E657" t="s">
        <v>13</v>
      </c>
      <c r="F657">
        <v>9.2637768089999994</v>
      </c>
      <c r="G657">
        <v>76.785435300000003</v>
      </c>
      <c r="H657">
        <v>1</v>
      </c>
      <c r="I657" t="s">
        <v>14</v>
      </c>
      <c r="J657" t="s">
        <v>71</v>
      </c>
    </row>
    <row r="658" spans="1:10">
      <c r="A658">
        <v>313893</v>
      </c>
      <c r="B658" t="s">
        <v>586</v>
      </c>
      <c r="C658" t="s">
        <v>587</v>
      </c>
      <c r="D658" t="s">
        <v>70</v>
      </c>
      <c r="E658" t="s">
        <v>13</v>
      </c>
      <c r="F658">
        <v>9.3115330269999994</v>
      </c>
      <c r="G658">
        <v>76.622720529999995</v>
      </c>
      <c r="H658">
        <v>4</v>
      </c>
      <c r="I658" t="s">
        <v>14</v>
      </c>
      <c r="J658" t="s">
        <v>71</v>
      </c>
    </row>
    <row r="659" spans="1:10">
      <c r="A659">
        <v>313892</v>
      </c>
      <c r="B659" t="s">
        <v>588</v>
      </c>
      <c r="C659" t="s">
        <v>587</v>
      </c>
      <c r="D659" t="s">
        <v>70</v>
      </c>
      <c r="E659" t="s">
        <v>13</v>
      </c>
      <c r="F659">
        <v>9.3421447230000005</v>
      </c>
      <c r="G659">
        <v>76.598487840000004</v>
      </c>
      <c r="H659">
        <v>2</v>
      </c>
      <c r="I659" t="s">
        <v>14</v>
      </c>
      <c r="J659" t="s">
        <v>71</v>
      </c>
    </row>
    <row r="660" spans="1:10">
      <c r="A660">
        <v>313891</v>
      </c>
      <c r="B660" t="s">
        <v>589</v>
      </c>
      <c r="C660" t="s">
        <v>316</v>
      </c>
      <c r="D660" t="s">
        <v>70</v>
      </c>
      <c r="E660" t="s">
        <v>13</v>
      </c>
      <c r="F660">
        <v>9.4598602179999993</v>
      </c>
      <c r="G660">
        <v>76.555183589999999</v>
      </c>
      <c r="H660">
        <v>2</v>
      </c>
      <c r="I660" t="s">
        <v>14</v>
      </c>
      <c r="J660" t="s">
        <v>71</v>
      </c>
    </row>
    <row r="661" spans="1:10">
      <c r="A661">
        <v>313890</v>
      </c>
      <c r="B661" t="s">
        <v>590</v>
      </c>
      <c r="C661" t="s">
        <v>591</v>
      </c>
      <c r="D661" t="s">
        <v>70</v>
      </c>
      <c r="E661" t="s">
        <v>13</v>
      </c>
      <c r="F661">
        <v>9.8069424890000008</v>
      </c>
      <c r="G661">
        <v>77.047940260000004</v>
      </c>
      <c r="H661">
        <v>1</v>
      </c>
      <c r="I661" t="s">
        <v>14</v>
      </c>
      <c r="J661" t="s">
        <v>71</v>
      </c>
    </row>
    <row r="662" spans="1:10">
      <c r="A662">
        <v>313889</v>
      </c>
      <c r="B662" t="s">
        <v>592</v>
      </c>
      <c r="C662" t="s">
        <v>306</v>
      </c>
      <c r="D662" t="s">
        <v>70</v>
      </c>
      <c r="E662" t="s">
        <v>13</v>
      </c>
      <c r="F662">
        <v>9.7476172929999993</v>
      </c>
      <c r="G662">
        <v>77.105417700000004</v>
      </c>
      <c r="H662">
        <v>1</v>
      </c>
      <c r="I662" t="s">
        <v>14</v>
      </c>
      <c r="J662" t="s">
        <v>71</v>
      </c>
    </row>
    <row r="663" spans="1:10">
      <c r="A663">
        <v>313888</v>
      </c>
      <c r="B663" t="s">
        <v>593</v>
      </c>
      <c r="C663" t="s">
        <v>304</v>
      </c>
      <c r="D663" t="s">
        <v>70</v>
      </c>
      <c r="E663" t="s">
        <v>13</v>
      </c>
      <c r="F663">
        <v>9.6653988200000001</v>
      </c>
      <c r="G663">
        <v>77.160846950000007</v>
      </c>
      <c r="H663">
        <v>2</v>
      </c>
      <c r="I663" t="s">
        <v>14</v>
      </c>
      <c r="J663" t="s">
        <v>71</v>
      </c>
    </row>
    <row r="664" spans="1:10">
      <c r="A664">
        <v>313887</v>
      </c>
      <c r="B664" t="s">
        <v>594</v>
      </c>
      <c r="C664" t="s">
        <v>595</v>
      </c>
      <c r="D664" t="s">
        <v>70</v>
      </c>
      <c r="E664" t="s">
        <v>13</v>
      </c>
      <c r="F664">
        <v>9.6144458349999997</v>
      </c>
      <c r="G664">
        <v>77.153909909999996</v>
      </c>
      <c r="H664">
        <v>2</v>
      </c>
      <c r="I664" t="s">
        <v>14</v>
      </c>
      <c r="J664" t="s">
        <v>71</v>
      </c>
    </row>
    <row r="665" spans="1:10">
      <c r="A665">
        <v>313886</v>
      </c>
      <c r="B665" t="s">
        <v>596</v>
      </c>
      <c r="C665" t="s">
        <v>597</v>
      </c>
      <c r="D665" t="s">
        <v>70</v>
      </c>
      <c r="E665" t="s">
        <v>13</v>
      </c>
      <c r="F665">
        <v>9.580204298</v>
      </c>
      <c r="G665">
        <v>76.970611730000002</v>
      </c>
      <c r="H665">
        <v>3</v>
      </c>
      <c r="I665" t="s">
        <v>14</v>
      </c>
      <c r="J665" t="s">
        <v>71</v>
      </c>
    </row>
    <row r="666" spans="1:10">
      <c r="A666">
        <v>313885</v>
      </c>
      <c r="B666" t="s">
        <v>598</v>
      </c>
      <c r="C666" t="s">
        <v>599</v>
      </c>
      <c r="D666" t="s">
        <v>70</v>
      </c>
      <c r="E666" t="s">
        <v>13</v>
      </c>
      <c r="F666">
        <v>9.5670747289999998</v>
      </c>
      <c r="G666">
        <v>76.706094039999996</v>
      </c>
      <c r="H666">
        <v>1</v>
      </c>
      <c r="I666" t="s">
        <v>14</v>
      </c>
      <c r="J666" t="s">
        <v>71</v>
      </c>
    </row>
    <row r="667" spans="1:10">
      <c r="A667">
        <v>313884</v>
      </c>
      <c r="B667" t="s">
        <v>600</v>
      </c>
      <c r="C667" t="s">
        <v>601</v>
      </c>
      <c r="D667" t="s">
        <v>70</v>
      </c>
      <c r="E667" t="s">
        <v>13</v>
      </c>
      <c r="F667">
        <v>9.566378512</v>
      </c>
      <c r="G667">
        <v>76.741607509999994</v>
      </c>
      <c r="H667">
        <v>2</v>
      </c>
      <c r="I667" t="s">
        <v>14</v>
      </c>
      <c r="J667" t="s">
        <v>71</v>
      </c>
    </row>
    <row r="668" spans="1:10">
      <c r="A668">
        <v>313883</v>
      </c>
      <c r="B668" t="s">
        <v>602</v>
      </c>
      <c r="C668" t="s">
        <v>603</v>
      </c>
      <c r="D668" t="s">
        <v>70</v>
      </c>
      <c r="E668" t="s">
        <v>13</v>
      </c>
      <c r="F668">
        <v>9.7539997219999997</v>
      </c>
      <c r="G668">
        <v>76.701278959999996</v>
      </c>
      <c r="H668">
        <v>2</v>
      </c>
      <c r="I668" t="s">
        <v>14</v>
      </c>
      <c r="J668" t="s">
        <v>71</v>
      </c>
    </row>
    <row r="669" spans="1:10">
      <c r="A669">
        <v>313882</v>
      </c>
      <c r="B669" t="s">
        <v>604</v>
      </c>
      <c r="C669" t="s">
        <v>605</v>
      </c>
      <c r="D669" t="s">
        <v>70</v>
      </c>
      <c r="E669" t="s">
        <v>13</v>
      </c>
      <c r="F669">
        <v>9.6832481510000008</v>
      </c>
      <c r="G669">
        <v>76.609753569999995</v>
      </c>
      <c r="H669">
        <v>1</v>
      </c>
      <c r="I669" t="s">
        <v>14</v>
      </c>
      <c r="J669" t="s">
        <v>71</v>
      </c>
    </row>
    <row r="670" spans="1:10">
      <c r="A670">
        <v>313881</v>
      </c>
      <c r="B670" t="s">
        <v>606</v>
      </c>
      <c r="C670" t="s">
        <v>83</v>
      </c>
      <c r="D670" t="s">
        <v>70</v>
      </c>
      <c r="E670" t="s">
        <v>13</v>
      </c>
      <c r="F670">
        <v>9.6681718290000003</v>
      </c>
      <c r="G670">
        <v>76.575378819999997</v>
      </c>
      <c r="H670">
        <v>3</v>
      </c>
      <c r="I670" t="s">
        <v>14</v>
      </c>
      <c r="J670" t="s">
        <v>71</v>
      </c>
    </row>
    <row r="671" spans="1:10">
      <c r="A671">
        <v>313880</v>
      </c>
      <c r="B671" t="s">
        <v>607</v>
      </c>
      <c r="C671" t="s">
        <v>608</v>
      </c>
      <c r="D671" t="s">
        <v>70</v>
      </c>
      <c r="E671" t="s">
        <v>13</v>
      </c>
      <c r="F671">
        <v>9.7619238409999998</v>
      </c>
      <c r="G671">
        <v>76.564722529999997</v>
      </c>
      <c r="H671">
        <v>2</v>
      </c>
      <c r="I671" t="s">
        <v>14</v>
      </c>
      <c r="J671" t="s">
        <v>71</v>
      </c>
    </row>
    <row r="672" spans="1:10">
      <c r="A672">
        <v>313879</v>
      </c>
      <c r="B672" t="s">
        <v>609</v>
      </c>
      <c r="C672" t="s">
        <v>610</v>
      </c>
      <c r="D672" t="s">
        <v>70</v>
      </c>
      <c r="E672" t="s">
        <v>13</v>
      </c>
      <c r="F672">
        <v>9.7275794260000001</v>
      </c>
      <c r="G672">
        <v>76.520387769999999</v>
      </c>
      <c r="H672">
        <v>1</v>
      </c>
      <c r="I672" t="s">
        <v>14</v>
      </c>
      <c r="J672" t="s">
        <v>71</v>
      </c>
    </row>
    <row r="673" spans="1:10">
      <c r="A673">
        <v>313878</v>
      </c>
      <c r="B673" t="s">
        <v>611</v>
      </c>
      <c r="C673" t="s">
        <v>612</v>
      </c>
      <c r="D673" t="s">
        <v>70</v>
      </c>
      <c r="E673" t="s">
        <v>13</v>
      </c>
      <c r="F673">
        <v>9.6833368800000006</v>
      </c>
      <c r="G673">
        <v>76.505593809999993</v>
      </c>
      <c r="H673">
        <v>2</v>
      </c>
      <c r="I673" t="s">
        <v>14</v>
      </c>
      <c r="J673" t="s">
        <v>71</v>
      </c>
    </row>
    <row r="674" spans="1:10">
      <c r="A674">
        <v>313877</v>
      </c>
      <c r="B674" t="s">
        <v>613</v>
      </c>
      <c r="C674" t="s">
        <v>614</v>
      </c>
      <c r="D674" t="s">
        <v>70</v>
      </c>
      <c r="E674" t="s">
        <v>13</v>
      </c>
      <c r="F674">
        <v>9.5893993359999996</v>
      </c>
      <c r="G674">
        <v>76.526330529999996</v>
      </c>
      <c r="H674">
        <v>1</v>
      </c>
      <c r="I674" t="s">
        <v>14</v>
      </c>
      <c r="J674" t="s">
        <v>71</v>
      </c>
    </row>
    <row r="675" spans="1:10">
      <c r="A675">
        <v>313876</v>
      </c>
      <c r="B675" t="s">
        <v>615</v>
      </c>
      <c r="C675" t="s">
        <v>614</v>
      </c>
      <c r="D675" t="s">
        <v>70</v>
      </c>
      <c r="E675" t="s">
        <v>13</v>
      </c>
      <c r="F675">
        <v>9.5782587679999995</v>
      </c>
      <c r="G675">
        <v>76.519470560000002</v>
      </c>
      <c r="H675">
        <v>2</v>
      </c>
      <c r="I675" t="s">
        <v>14</v>
      </c>
      <c r="J675" t="s">
        <v>71</v>
      </c>
    </row>
    <row r="676" spans="1:10">
      <c r="A676">
        <v>313875</v>
      </c>
      <c r="B676" t="s">
        <v>616</v>
      </c>
      <c r="C676" t="s">
        <v>617</v>
      </c>
      <c r="D676" t="s">
        <v>70</v>
      </c>
      <c r="E676" t="s">
        <v>13</v>
      </c>
      <c r="F676">
        <v>9.490169817</v>
      </c>
      <c r="G676">
        <v>76.320737159999993</v>
      </c>
      <c r="H676">
        <v>1</v>
      </c>
      <c r="I676" t="s">
        <v>14</v>
      </c>
      <c r="J676" t="s">
        <v>71</v>
      </c>
    </row>
    <row r="677" spans="1:10">
      <c r="A677">
        <v>313874</v>
      </c>
      <c r="B677" t="s">
        <v>618</v>
      </c>
      <c r="C677" t="s">
        <v>617</v>
      </c>
      <c r="D677" t="s">
        <v>70</v>
      </c>
      <c r="E677" t="s">
        <v>13</v>
      </c>
      <c r="F677">
        <v>9.5594971690000001</v>
      </c>
      <c r="G677">
        <v>76.328213590000004</v>
      </c>
      <c r="H677">
        <v>1</v>
      </c>
      <c r="I677" t="s">
        <v>14</v>
      </c>
      <c r="J677" t="s">
        <v>71</v>
      </c>
    </row>
    <row r="678" spans="1:10">
      <c r="A678">
        <v>313873</v>
      </c>
      <c r="B678" t="s">
        <v>619</v>
      </c>
      <c r="C678" t="s">
        <v>617</v>
      </c>
      <c r="D678" t="s">
        <v>70</v>
      </c>
      <c r="E678" t="s">
        <v>13</v>
      </c>
      <c r="F678">
        <v>9.5625750620000005</v>
      </c>
      <c r="G678">
        <v>76.327584029999997</v>
      </c>
      <c r="H678">
        <v>1</v>
      </c>
      <c r="I678" t="s">
        <v>14</v>
      </c>
      <c r="J678" t="s">
        <v>71</v>
      </c>
    </row>
    <row r="679" spans="1:10">
      <c r="A679">
        <v>313872</v>
      </c>
      <c r="B679" t="s">
        <v>620</v>
      </c>
      <c r="C679" t="s">
        <v>292</v>
      </c>
      <c r="D679" t="s">
        <v>70</v>
      </c>
      <c r="E679" t="s">
        <v>13</v>
      </c>
      <c r="F679">
        <v>9.6838908020000005</v>
      </c>
      <c r="G679">
        <v>76.333582190000001</v>
      </c>
      <c r="H679">
        <v>3</v>
      </c>
      <c r="I679" t="s">
        <v>14</v>
      </c>
      <c r="J679" t="s">
        <v>71</v>
      </c>
    </row>
    <row r="680" spans="1:10">
      <c r="A680">
        <v>313871</v>
      </c>
      <c r="B680" t="s">
        <v>621</v>
      </c>
      <c r="C680" t="s">
        <v>622</v>
      </c>
      <c r="D680" t="s">
        <v>70</v>
      </c>
      <c r="E680" t="s">
        <v>13</v>
      </c>
      <c r="F680">
        <v>9.851840438</v>
      </c>
      <c r="G680">
        <v>76.389387869999993</v>
      </c>
      <c r="H680">
        <v>1</v>
      </c>
      <c r="I680" t="s">
        <v>14</v>
      </c>
      <c r="J680" t="s">
        <v>71</v>
      </c>
    </row>
    <row r="681" spans="1:10">
      <c r="A681">
        <v>313870</v>
      </c>
      <c r="B681" t="s">
        <v>623</v>
      </c>
      <c r="C681" t="s">
        <v>624</v>
      </c>
      <c r="D681" t="s">
        <v>70</v>
      </c>
      <c r="E681" t="s">
        <v>13</v>
      </c>
      <c r="F681">
        <v>9.9626102680000006</v>
      </c>
      <c r="G681">
        <v>76.358001160000001</v>
      </c>
      <c r="H681">
        <v>1</v>
      </c>
      <c r="I681" t="s">
        <v>14</v>
      </c>
      <c r="J681" t="s">
        <v>71</v>
      </c>
    </row>
    <row r="682" spans="1:10">
      <c r="A682">
        <v>313869</v>
      </c>
      <c r="B682" t="s">
        <v>625</v>
      </c>
      <c r="C682" t="s">
        <v>624</v>
      </c>
      <c r="D682" t="s">
        <v>70</v>
      </c>
      <c r="E682" t="s">
        <v>13</v>
      </c>
      <c r="F682">
        <v>9.948953178</v>
      </c>
      <c r="G682">
        <v>76.347710919999997</v>
      </c>
      <c r="H682">
        <v>5</v>
      </c>
      <c r="I682" t="s">
        <v>14</v>
      </c>
      <c r="J682" t="s">
        <v>71</v>
      </c>
    </row>
    <row r="683" spans="1:10">
      <c r="A683">
        <v>313868</v>
      </c>
      <c r="B683" t="s">
        <v>626</v>
      </c>
      <c r="C683" t="s">
        <v>627</v>
      </c>
      <c r="D683" t="s">
        <v>70</v>
      </c>
      <c r="E683" t="s">
        <v>13</v>
      </c>
      <c r="F683">
        <v>9.9477583599999999</v>
      </c>
      <c r="G683">
        <v>76.31854611</v>
      </c>
      <c r="H683">
        <v>2</v>
      </c>
      <c r="I683" t="s">
        <v>14</v>
      </c>
      <c r="J683" t="s">
        <v>71</v>
      </c>
    </row>
    <row r="684" spans="1:10">
      <c r="A684">
        <v>313867</v>
      </c>
      <c r="B684" t="s">
        <v>628</v>
      </c>
      <c r="C684" t="s">
        <v>629</v>
      </c>
      <c r="D684" t="s">
        <v>70</v>
      </c>
      <c r="E684" t="s">
        <v>13</v>
      </c>
      <c r="F684">
        <v>9.947451633</v>
      </c>
      <c r="G684">
        <v>76.303415560000005</v>
      </c>
      <c r="H684">
        <v>3</v>
      </c>
      <c r="I684" t="s">
        <v>14</v>
      </c>
      <c r="J684" t="s">
        <v>71</v>
      </c>
    </row>
    <row r="685" spans="1:10">
      <c r="A685">
        <v>313866</v>
      </c>
      <c r="B685" t="s">
        <v>630</v>
      </c>
      <c r="C685" t="s">
        <v>631</v>
      </c>
      <c r="D685" t="s">
        <v>70</v>
      </c>
      <c r="E685" t="s">
        <v>13</v>
      </c>
      <c r="F685">
        <v>9.9651944920000002</v>
      </c>
      <c r="G685">
        <v>76.296623210000007</v>
      </c>
      <c r="H685">
        <v>2</v>
      </c>
      <c r="I685" t="s">
        <v>14</v>
      </c>
      <c r="J685" t="s">
        <v>71</v>
      </c>
    </row>
    <row r="686" spans="1:10">
      <c r="A686">
        <v>313865</v>
      </c>
      <c r="B686" t="s">
        <v>632</v>
      </c>
      <c r="C686" t="s">
        <v>633</v>
      </c>
      <c r="D686" t="s">
        <v>70</v>
      </c>
      <c r="E686" t="s">
        <v>13</v>
      </c>
      <c r="F686">
        <v>9.9959595790000009</v>
      </c>
      <c r="G686">
        <v>76.314102180000006</v>
      </c>
      <c r="H686">
        <v>2</v>
      </c>
      <c r="I686" t="s">
        <v>14</v>
      </c>
      <c r="J686" t="s">
        <v>71</v>
      </c>
    </row>
    <row r="687" spans="1:10">
      <c r="A687">
        <v>313864</v>
      </c>
      <c r="B687" t="s">
        <v>634</v>
      </c>
      <c r="C687" t="s">
        <v>633</v>
      </c>
      <c r="D687" t="s">
        <v>70</v>
      </c>
      <c r="E687" t="s">
        <v>13</v>
      </c>
      <c r="F687">
        <v>9.9984993339999999</v>
      </c>
      <c r="G687">
        <v>76.31386096</v>
      </c>
      <c r="H687">
        <v>2</v>
      </c>
      <c r="I687" t="s">
        <v>14</v>
      </c>
      <c r="J687" t="s">
        <v>71</v>
      </c>
    </row>
    <row r="688" spans="1:10">
      <c r="A688">
        <v>313863</v>
      </c>
      <c r="B688" t="s">
        <v>635</v>
      </c>
      <c r="C688" t="s">
        <v>636</v>
      </c>
      <c r="D688" t="s">
        <v>70</v>
      </c>
      <c r="E688" t="s">
        <v>13</v>
      </c>
      <c r="F688">
        <v>10.01465881</v>
      </c>
      <c r="G688">
        <v>76.342400600000005</v>
      </c>
      <c r="H688">
        <v>2</v>
      </c>
      <c r="I688" t="s">
        <v>14</v>
      </c>
      <c r="J688" t="s">
        <v>71</v>
      </c>
    </row>
    <row r="689" spans="1:10">
      <c r="A689">
        <v>313862</v>
      </c>
      <c r="B689" t="s">
        <v>637</v>
      </c>
      <c r="C689" t="s">
        <v>638</v>
      </c>
      <c r="D689" t="s">
        <v>70</v>
      </c>
      <c r="E689" t="s">
        <v>13</v>
      </c>
      <c r="F689">
        <v>10.035673989999999</v>
      </c>
      <c r="G689">
        <v>76.336448450000006</v>
      </c>
      <c r="H689">
        <v>1</v>
      </c>
      <c r="I689" t="s">
        <v>14</v>
      </c>
      <c r="J689" t="s">
        <v>71</v>
      </c>
    </row>
    <row r="690" spans="1:10">
      <c r="A690">
        <v>313861</v>
      </c>
      <c r="B690" t="s">
        <v>639</v>
      </c>
      <c r="C690" t="s">
        <v>640</v>
      </c>
      <c r="D690" t="s">
        <v>70</v>
      </c>
      <c r="E690" t="s">
        <v>13</v>
      </c>
      <c r="F690">
        <v>10.03211451</v>
      </c>
      <c r="G690">
        <v>76.322960460000004</v>
      </c>
      <c r="H690">
        <v>7</v>
      </c>
      <c r="I690" t="s">
        <v>14</v>
      </c>
      <c r="J690" t="s">
        <v>71</v>
      </c>
    </row>
    <row r="691" spans="1:10">
      <c r="A691">
        <v>313860</v>
      </c>
      <c r="B691" t="s">
        <v>641</v>
      </c>
      <c r="C691" t="s">
        <v>640</v>
      </c>
      <c r="D691" t="s">
        <v>70</v>
      </c>
      <c r="E691" t="s">
        <v>13</v>
      </c>
      <c r="F691">
        <v>10.014373320000001</v>
      </c>
      <c r="G691">
        <v>76.312532739999995</v>
      </c>
      <c r="H691">
        <v>2</v>
      </c>
      <c r="I691" t="s">
        <v>14</v>
      </c>
      <c r="J691" t="s">
        <v>71</v>
      </c>
    </row>
    <row r="692" spans="1:10">
      <c r="A692">
        <v>313859</v>
      </c>
      <c r="B692" t="s">
        <v>642</v>
      </c>
      <c r="C692" t="s">
        <v>640</v>
      </c>
      <c r="D692" t="s">
        <v>70</v>
      </c>
      <c r="E692" t="s">
        <v>13</v>
      </c>
      <c r="F692">
        <v>10.025853</v>
      </c>
      <c r="G692">
        <v>76.308479879999993</v>
      </c>
      <c r="H692">
        <v>4</v>
      </c>
      <c r="I692" t="s">
        <v>14</v>
      </c>
      <c r="J692" t="s">
        <v>71</v>
      </c>
    </row>
    <row r="693" spans="1:10">
      <c r="A693">
        <v>313858</v>
      </c>
      <c r="B693" t="s">
        <v>643</v>
      </c>
      <c r="C693" t="s">
        <v>644</v>
      </c>
      <c r="D693" t="s">
        <v>70</v>
      </c>
      <c r="E693" t="s">
        <v>13</v>
      </c>
      <c r="F693">
        <v>10.05657909</v>
      </c>
      <c r="G693">
        <v>76.77664747</v>
      </c>
      <c r="H693">
        <v>1</v>
      </c>
      <c r="I693" t="s">
        <v>14</v>
      </c>
      <c r="J693" t="s">
        <v>71</v>
      </c>
    </row>
    <row r="694" spans="1:10">
      <c r="A694">
        <v>313857</v>
      </c>
      <c r="B694" t="s">
        <v>645</v>
      </c>
      <c r="C694" t="s">
        <v>96</v>
      </c>
      <c r="D694" t="s">
        <v>70</v>
      </c>
      <c r="E694" t="s">
        <v>13</v>
      </c>
      <c r="F694">
        <v>10.089873280000001</v>
      </c>
      <c r="G694">
        <v>76.497670339999999</v>
      </c>
      <c r="H694">
        <v>5</v>
      </c>
      <c r="I694" t="s">
        <v>14</v>
      </c>
      <c r="J694" t="s">
        <v>71</v>
      </c>
    </row>
    <row r="695" spans="1:10">
      <c r="A695">
        <v>313856</v>
      </c>
      <c r="B695" t="s">
        <v>646</v>
      </c>
      <c r="C695" t="s">
        <v>96</v>
      </c>
      <c r="D695" t="s">
        <v>70</v>
      </c>
      <c r="E695" t="s">
        <v>13</v>
      </c>
      <c r="F695">
        <v>10.116599669999999</v>
      </c>
      <c r="G695">
        <v>76.445699410000003</v>
      </c>
      <c r="H695">
        <v>3</v>
      </c>
      <c r="I695" t="s">
        <v>14</v>
      </c>
      <c r="J695" t="s">
        <v>71</v>
      </c>
    </row>
    <row r="696" spans="1:10">
      <c r="A696">
        <v>313855</v>
      </c>
      <c r="B696" t="s">
        <v>647</v>
      </c>
      <c r="C696" t="s">
        <v>92</v>
      </c>
      <c r="D696" t="s">
        <v>70</v>
      </c>
      <c r="E696" t="s">
        <v>13</v>
      </c>
      <c r="F696">
        <v>10.13484738</v>
      </c>
      <c r="G696">
        <v>76.354549039999995</v>
      </c>
      <c r="H696">
        <v>1</v>
      </c>
      <c r="I696" t="s">
        <v>14</v>
      </c>
      <c r="J696" t="s">
        <v>71</v>
      </c>
    </row>
    <row r="697" spans="1:10">
      <c r="A697">
        <v>313854</v>
      </c>
      <c r="B697" t="s">
        <v>648</v>
      </c>
      <c r="C697" t="s">
        <v>649</v>
      </c>
      <c r="D697" t="s">
        <v>70</v>
      </c>
      <c r="E697" t="s">
        <v>13</v>
      </c>
      <c r="F697">
        <v>10.14144398</v>
      </c>
      <c r="G697">
        <v>76.352933829999998</v>
      </c>
      <c r="H697">
        <v>2</v>
      </c>
      <c r="I697" t="s">
        <v>14</v>
      </c>
      <c r="J697" t="s">
        <v>71</v>
      </c>
    </row>
    <row r="698" spans="1:10">
      <c r="A698">
        <v>313853</v>
      </c>
      <c r="B698" t="s">
        <v>650</v>
      </c>
      <c r="C698" t="s">
        <v>649</v>
      </c>
      <c r="D698" t="s">
        <v>70</v>
      </c>
      <c r="E698" t="s">
        <v>13</v>
      </c>
      <c r="F698">
        <v>10.15505346</v>
      </c>
      <c r="G698">
        <v>76.354714529999995</v>
      </c>
      <c r="H698">
        <v>1</v>
      </c>
      <c r="I698" t="s">
        <v>14</v>
      </c>
      <c r="J698" t="s">
        <v>71</v>
      </c>
    </row>
    <row r="699" spans="1:10">
      <c r="A699">
        <v>313852</v>
      </c>
      <c r="B699" t="s">
        <v>651</v>
      </c>
      <c r="C699" t="s">
        <v>483</v>
      </c>
      <c r="D699" t="s">
        <v>70</v>
      </c>
      <c r="E699" t="s">
        <v>13</v>
      </c>
      <c r="F699">
        <v>10.20178009</v>
      </c>
      <c r="G699">
        <v>76.409661619999994</v>
      </c>
      <c r="H699">
        <v>2</v>
      </c>
      <c r="I699" t="s">
        <v>14</v>
      </c>
      <c r="J699" t="s">
        <v>71</v>
      </c>
    </row>
    <row r="700" spans="1:10">
      <c r="A700">
        <v>313850</v>
      </c>
      <c r="B700" t="s">
        <v>652</v>
      </c>
      <c r="C700" t="s">
        <v>103</v>
      </c>
      <c r="D700" t="s">
        <v>70</v>
      </c>
      <c r="E700" t="s">
        <v>13</v>
      </c>
      <c r="F700">
        <v>10.149673030000001</v>
      </c>
      <c r="G700">
        <v>76.217564190000004</v>
      </c>
      <c r="H700">
        <v>1</v>
      </c>
      <c r="I700" t="s">
        <v>14</v>
      </c>
      <c r="J700" t="s">
        <v>71</v>
      </c>
    </row>
    <row r="701" spans="1:10">
      <c r="A701">
        <v>313849</v>
      </c>
      <c r="B701" t="s">
        <v>653</v>
      </c>
      <c r="C701" t="s">
        <v>654</v>
      </c>
      <c r="D701" t="s">
        <v>70</v>
      </c>
      <c r="E701" t="s">
        <v>13</v>
      </c>
      <c r="F701">
        <v>10.27724459</v>
      </c>
      <c r="G701">
        <v>76.344528080000003</v>
      </c>
      <c r="H701">
        <v>2</v>
      </c>
      <c r="I701" t="s">
        <v>14</v>
      </c>
      <c r="J701" t="s">
        <v>71</v>
      </c>
    </row>
    <row r="702" spans="1:10">
      <c r="A702">
        <v>313848</v>
      </c>
      <c r="B702" t="s">
        <v>655</v>
      </c>
      <c r="C702" t="s">
        <v>656</v>
      </c>
      <c r="D702" t="s">
        <v>70</v>
      </c>
      <c r="E702" t="s">
        <v>13</v>
      </c>
      <c r="F702">
        <v>10.24066912</v>
      </c>
      <c r="G702">
        <v>76.27252885</v>
      </c>
      <c r="H702">
        <v>1</v>
      </c>
      <c r="I702" t="s">
        <v>14</v>
      </c>
      <c r="J702" t="s">
        <v>71</v>
      </c>
    </row>
    <row r="703" spans="1:10">
      <c r="A703">
        <v>313847</v>
      </c>
      <c r="B703" t="s">
        <v>657</v>
      </c>
      <c r="C703" t="s">
        <v>105</v>
      </c>
      <c r="D703" t="s">
        <v>70</v>
      </c>
      <c r="E703" t="s">
        <v>13</v>
      </c>
      <c r="F703">
        <v>10.211292050000001</v>
      </c>
      <c r="G703">
        <v>76.198988670000006</v>
      </c>
      <c r="H703">
        <v>2</v>
      </c>
      <c r="I703" t="s">
        <v>14</v>
      </c>
      <c r="J703" t="s">
        <v>71</v>
      </c>
    </row>
    <row r="704" spans="1:10">
      <c r="A704">
        <v>313846</v>
      </c>
      <c r="B704" t="s">
        <v>658</v>
      </c>
      <c r="C704" t="s">
        <v>105</v>
      </c>
      <c r="D704" t="s">
        <v>70</v>
      </c>
      <c r="E704" t="s">
        <v>13</v>
      </c>
      <c r="F704">
        <v>10.378135159999999</v>
      </c>
      <c r="G704">
        <v>76.122545389999999</v>
      </c>
      <c r="H704">
        <v>3</v>
      </c>
      <c r="I704" t="s">
        <v>14</v>
      </c>
      <c r="J704" t="s">
        <v>71</v>
      </c>
    </row>
    <row r="705" spans="1:10">
      <c r="A705">
        <v>313843</v>
      </c>
      <c r="B705" t="s">
        <v>659</v>
      </c>
      <c r="C705" t="s">
        <v>169</v>
      </c>
      <c r="D705" t="s">
        <v>70</v>
      </c>
      <c r="E705" t="s">
        <v>13</v>
      </c>
      <c r="F705">
        <v>10.43559497</v>
      </c>
      <c r="G705">
        <v>76.265874679999996</v>
      </c>
      <c r="H705">
        <v>4</v>
      </c>
      <c r="I705" t="s">
        <v>14</v>
      </c>
      <c r="J705" t="s">
        <v>71</v>
      </c>
    </row>
    <row r="706" spans="1:10">
      <c r="A706">
        <v>313841</v>
      </c>
      <c r="B706" t="s">
        <v>660</v>
      </c>
      <c r="C706" t="s">
        <v>169</v>
      </c>
      <c r="D706" t="s">
        <v>70</v>
      </c>
      <c r="E706" t="s">
        <v>13</v>
      </c>
      <c r="F706">
        <v>10.526149569999999</v>
      </c>
      <c r="G706">
        <v>76.187954619999999</v>
      </c>
      <c r="H706">
        <v>1</v>
      </c>
      <c r="I706" t="s">
        <v>14</v>
      </c>
      <c r="J706" t="s">
        <v>71</v>
      </c>
    </row>
    <row r="707" spans="1:10">
      <c r="A707">
        <v>313839</v>
      </c>
      <c r="B707" t="s">
        <v>661</v>
      </c>
      <c r="C707" t="s">
        <v>169</v>
      </c>
      <c r="D707" t="s">
        <v>70</v>
      </c>
      <c r="E707" t="s">
        <v>13</v>
      </c>
      <c r="F707">
        <v>10.548946559999999</v>
      </c>
      <c r="G707">
        <v>76.183041110000005</v>
      </c>
      <c r="H707">
        <v>4</v>
      </c>
      <c r="I707" t="s">
        <v>14</v>
      </c>
      <c r="J707" t="s">
        <v>71</v>
      </c>
    </row>
    <row r="708" spans="1:10">
      <c r="A708">
        <v>313838</v>
      </c>
      <c r="B708" t="s">
        <v>662</v>
      </c>
      <c r="C708" t="s">
        <v>663</v>
      </c>
      <c r="D708" t="s">
        <v>70</v>
      </c>
      <c r="E708" t="s">
        <v>13</v>
      </c>
      <c r="F708">
        <v>10.564967490000001</v>
      </c>
      <c r="G708">
        <v>76.165984260000002</v>
      </c>
      <c r="H708">
        <v>3</v>
      </c>
      <c r="I708" t="s">
        <v>14</v>
      </c>
      <c r="J708" t="s">
        <v>71</v>
      </c>
    </row>
    <row r="709" spans="1:10">
      <c r="A709">
        <v>313836</v>
      </c>
      <c r="B709" t="s">
        <v>664</v>
      </c>
      <c r="C709" t="s">
        <v>665</v>
      </c>
      <c r="D709" t="s">
        <v>70</v>
      </c>
      <c r="E709" t="s">
        <v>13</v>
      </c>
      <c r="F709">
        <v>10.4872912</v>
      </c>
      <c r="G709">
        <v>76.070836119999996</v>
      </c>
      <c r="H709">
        <v>2</v>
      </c>
      <c r="I709" t="s">
        <v>14</v>
      </c>
      <c r="J709" t="s">
        <v>71</v>
      </c>
    </row>
    <row r="710" spans="1:10">
      <c r="A710">
        <v>313835</v>
      </c>
      <c r="B710" t="s">
        <v>666</v>
      </c>
      <c r="C710" t="s">
        <v>667</v>
      </c>
      <c r="D710" t="s">
        <v>70</v>
      </c>
      <c r="E710" t="s">
        <v>13</v>
      </c>
      <c r="F710">
        <v>10.494542470000001</v>
      </c>
      <c r="G710">
        <v>76.065847439999999</v>
      </c>
      <c r="H710">
        <v>2</v>
      </c>
      <c r="I710" t="s">
        <v>14</v>
      </c>
      <c r="J710" t="s">
        <v>71</v>
      </c>
    </row>
    <row r="711" spans="1:10">
      <c r="A711">
        <v>313819</v>
      </c>
      <c r="B711" t="s">
        <v>668</v>
      </c>
      <c r="C711" t="s">
        <v>669</v>
      </c>
      <c r="D711" t="s">
        <v>70</v>
      </c>
      <c r="E711" t="s">
        <v>13</v>
      </c>
      <c r="F711">
        <v>10.598447820000001</v>
      </c>
      <c r="G711">
        <v>76.036367889999994</v>
      </c>
      <c r="H711">
        <v>1</v>
      </c>
      <c r="I711" t="s">
        <v>14</v>
      </c>
      <c r="J711" t="s">
        <v>71</v>
      </c>
    </row>
    <row r="712" spans="1:10">
      <c r="A712">
        <v>313818</v>
      </c>
      <c r="B712" t="s">
        <v>670</v>
      </c>
      <c r="C712" t="s">
        <v>671</v>
      </c>
      <c r="D712" t="s">
        <v>70</v>
      </c>
      <c r="E712" t="s">
        <v>13</v>
      </c>
      <c r="F712">
        <v>10.79730859</v>
      </c>
      <c r="G712">
        <v>76.827540810000002</v>
      </c>
      <c r="H712">
        <v>2</v>
      </c>
      <c r="I712" t="s">
        <v>14</v>
      </c>
      <c r="J712" t="s">
        <v>71</v>
      </c>
    </row>
    <row r="713" spans="1:10">
      <c r="A713">
        <v>313817</v>
      </c>
      <c r="B713" t="s">
        <v>672</v>
      </c>
      <c r="C713" t="s">
        <v>671</v>
      </c>
      <c r="D713" t="s">
        <v>70</v>
      </c>
      <c r="E713" t="s">
        <v>13</v>
      </c>
      <c r="F713">
        <v>10.79348727</v>
      </c>
      <c r="G713">
        <v>76.82652951</v>
      </c>
      <c r="H713">
        <v>2</v>
      </c>
      <c r="I713" t="s">
        <v>14</v>
      </c>
      <c r="J713" t="s">
        <v>71</v>
      </c>
    </row>
    <row r="714" spans="1:10">
      <c r="A714">
        <v>313816</v>
      </c>
      <c r="B714" t="s">
        <v>673</v>
      </c>
      <c r="C714" t="s">
        <v>671</v>
      </c>
      <c r="D714" t="s">
        <v>70</v>
      </c>
      <c r="E714" t="s">
        <v>13</v>
      </c>
      <c r="F714">
        <v>10.792032259999999</v>
      </c>
      <c r="G714">
        <v>76.828347120000004</v>
      </c>
      <c r="H714">
        <v>2</v>
      </c>
      <c r="I714" t="s">
        <v>14</v>
      </c>
      <c r="J714" t="s">
        <v>71</v>
      </c>
    </row>
    <row r="715" spans="1:10">
      <c r="A715">
        <v>313815</v>
      </c>
      <c r="B715" t="s">
        <v>674</v>
      </c>
      <c r="C715" t="s">
        <v>675</v>
      </c>
      <c r="D715" t="s">
        <v>70</v>
      </c>
      <c r="E715" t="s">
        <v>13</v>
      </c>
      <c r="F715">
        <v>10.82659305</v>
      </c>
      <c r="G715">
        <v>76.82605307</v>
      </c>
      <c r="H715">
        <v>3</v>
      </c>
      <c r="I715" t="s">
        <v>14</v>
      </c>
      <c r="J715" t="s">
        <v>71</v>
      </c>
    </row>
    <row r="716" spans="1:10">
      <c r="A716">
        <v>313814</v>
      </c>
      <c r="B716" t="s">
        <v>676</v>
      </c>
      <c r="C716" t="s">
        <v>264</v>
      </c>
      <c r="D716" t="s">
        <v>70</v>
      </c>
      <c r="E716" t="s">
        <v>13</v>
      </c>
      <c r="F716">
        <v>10.77395725</v>
      </c>
      <c r="G716">
        <v>76.698197410000006</v>
      </c>
      <c r="H716">
        <v>3</v>
      </c>
      <c r="I716" t="s">
        <v>14</v>
      </c>
      <c r="J716" t="s">
        <v>71</v>
      </c>
    </row>
    <row r="717" spans="1:10">
      <c r="A717">
        <v>313813</v>
      </c>
      <c r="B717" t="s">
        <v>677</v>
      </c>
      <c r="C717" t="s">
        <v>678</v>
      </c>
      <c r="D717" t="s">
        <v>70</v>
      </c>
      <c r="E717" t="s">
        <v>13</v>
      </c>
      <c r="F717">
        <v>10.64616636</v>
      </c>
      <c r="G717">
        <v>76.551402390000007</v>
      </c>
      <c r="H717">
        <v>3</v>
      </c>
      <c r="I717" t="s">
        <v>14</v>
      </c>
      <c r="J717" t="s">
        <v>71</v>
      </c>
    </row>
    <row r="718" spans="1:10">
      <c r="A718">
        <v>313811</v>
      </c>
      <c r="B718" t="s">
        <v>679</v>
      </c>
      <c r="C718" t="s">
        <v>680</v>
      </c>
      <c r="D718" t="s">
        <v>70</v>
      </c>
      <c r="E718" t="s">
        <v>13</v>
      </c>
      <c r="F718">
        <v>10.593239029999999</v>
      </c>
      <c r="G718">
        <v>76.48253527</v>
      </c>
      <c r="H718">
        <v>1</v>
      </c>
      <c r="I718" t="s">
        <v>14</v>
      </c>
      <c r="J718" t="s">
        <v>71</v>
      </c>
    </row>
    <row r="719" spans="1:10">
      <c r="A719">
        <v>313810</v>
      </c>
      <c r="B719" t="s">
        <v>681</v>
      </c>
      <c r="C719" t="s">
        <v>682</v>
      </c>
      <c r="D719" t="s">
        <v>70</v>
      </c>
      <c r="E719" t="s">
        <v>13</v>
      </c>
      <c r="F719">
        <v>10.710021709999999</v>
      </c>
      <c r="G719">
        <v>76.428792939999994</v>
      </c>
      <c r="H719">
        <v>2</v>
      </c>
      <c r="I719" t="s">
        <v>14</v>
      </c>
      <c r="J719" t="s">
        <v>71</v>
      </c>
    </row>
    <row r="720" spans="1:10">
      <c r="A720">
        <v>313809</v>
      </c>
      <c r="B720" t="s">
        <v>683</v>
      </c>
      <c r="C720" t="s">
        <v>684</v>
      </c>
      <c r="D720" t="s">
        <v>70</v>
      </c>
      <c r="E720" t="s">
        <v>13</v>
      </c>
      <c r="F720">
        <v>10.69271606</v>
      </c>
      <c r="G720">
        <v>76.268583750000005</v>
      </c>
      <c r="H720">
        <v>4</v>
      </c>
      <c r="I720" t="s">
        <v>14</v>
      </c>
      <c r="J720" t="s">
        <v>71</v>
      </c>
    </row>
    <row r="721" spans="1:10">
      <c r="A721">
        <v>313808</v>
      </c>
      <c r="B721" t="s">
        <v>685</v>
      </c>
      <c r="C721" t="s">
        <v>686</v>
      </c>
      <c r="D721" t="s">
        <v>70</v>
      </c>
      <c r="E721" t="s">
        <v>13</v>
      </c>
      <c r="F721">
        <v>10.750381969999999</v>
      </c>
      <c r="G721">
        <v>76.274756600000003</v>
      </c>
      <c r="H721">
        <v>1</v>
      </c>
      <c r="I721" t="s">
        <v>14</v>
      </c>
      <c r="J721" t="s">
        <v>71</v>
      </c>
    </row>
    <row r="722" spans="1:10">
      <c r="A722">
        <v>313807</v>
      </c>
      <c r="B722" t="s">
        <v>687</v>
      </c>
      <c r="C722" t="s">
        <v>688</v>
      </c>
      <c r="D722" t="s">
        <v>70</v>
      </c>
      <c r="E722" t="s">
        <v>13</v>
      </c>
      <c r="F722">
        <v>10.80479517</v>
      </c>
      <c r="G722">
        <v>76.208157080000007</v>
      </c>
      <c r="H722">
        <v>1</v>
      </c>
      <c r="I722" t="s">
        <v>14</v>
      </c>
      <c r="J722" t="s">
        <v>71</v>
      </c>
    </row>
    <row r="723" spans="1:10">
      <c r="A723">
        <v>313806</v>
      </c>
      <c r="B723" t="s">
        <v>689</v>
      </c>
      <c r="C723" t="s">
        <v>688</v>
      </c>
      <c r="D723" t="s">
        <v>70</v>
      </c>
      <c r="E723" t="s">
        <v>13</v>
      </c>
      <c r="F723">
        <v>10.81106853</v>
      </c>
      <c r="G723">
        <v>76.186443699999998</v>
      </c>
      <c r="H723">
        <v>4</v>
      </c>
      <c r="I723" t="s">
        <v>14</v>
      </c>
      <c r="J723" t="s">
        <v>71</v>
      </c>
    </row>
    <row r="724" spans="1:10">
      <c r="A724">
        <v>313805</v>
      </c>
      <c r="B724" t="s">
        <v>690</v>
      </c>
      <c r="C724" t="s">
        <v>691</v>
      </c>
      <c r="D724" t="s">
        <v>70</v>
      </c>
      <c r="E724" t="s">
        <v>13</v>
      </c>
      <c r="F724">
        <v>10.78488099</v>
      </c>
      <c r="G724">
        <v>76.170676270000001</v>
      </c>
      <c r="H724">
        <v>1</v>
      </c>
      <c r="I724" t="s">
        <v>14</v>
      </c>
      <c r="J724" t="s">
        <v>71</v>
      </c>
    </row>
    <row r="725" spans="1:10">
      <c r="A725">
        <v>313804</v>
      </c>
      <c r="B725" t="s">
        <v>692</v>
      </c>
      <c r="C725" t="s">
        <v>693</v>
      </c>
      <c r="D725" t="s">
        <v>70</v>
      </c>
      <c r="E725" t="s">
        <v>13</v>
      </c>
      <c r="F725">
        <v>10.933556619999999</v>
      </c>
      <c r="G725">
        <v>76.527217100000001</v>
      </c>
      <c r="H725">
        <v>3</v>
      </c>
      <c r="I725" t="s">
        <v>14</v>
      </c>
      <c r="J725" t="s">
        <v>71</v>
      </c>
    </row>
    <row r="726" spans="1:10">
      <c r="A726">
        <v>313789</v>
      </c>
      <c r="B726" t="s">
        <v>694</v>
      </c>
      <c r="C726" t="s">
        <v>259</v>
      </c>
      <c r="D726" t="s">
        <v>70</v>
      </c>
      <c r="E726" t="s">
        <v>13</v>
      </c>
      <c r="F726">
        <v>10.965296779999999</v>
      </c>
      <c r="G726">
        <v>76.28389833</v>
      </c>
      <c r="H726">
        <v>2</v>
      </c>
      <c r="I726" t="s">
        <v>14</v>
      </c>
      <c r="J726" t="s">
        <v>71</v>
      </c>
    </row>
    <row r="727" spans="1:10">
      <c r="A727">
        <v>313788</v>
      </c>
      <c r="B727" t="s">
        <v>695</v>
      </c>
      <c r="C727" t="s">
        <v>498</v>
      </c>
      <c r="D727" t="s">
        <v>70</v>
      </c>
      <c r="E727" t="s">
        <v>13</v>
      </c>
      <c r="F727">
        <v>10.873413080000001</v>
      </c>
      <c r="G727">
        <v>76.062458230000004</v>
      </c>
      <c r="H727">
        <v>3</v>
      </c>
      <c r="I727" t="s">
        <v>14</v>
      </c>
      <c r="J727" t="s">
        <v>71</v>
      </c>
    </row>
    <row r="728" spans="1:10">
      <c r="A728">
        <v>313787</v>
      </c>
      <c r="B728" t="s">
        <v>696</v>
      </c>
      <c r="C728" t="s">
        <v>697</v>
      </c>
      <c r="D728" t="s">
        <v>70</v>
      </c>
      <c r="E728" t="s">
        <v>13</v>
      </c>
      <c r="F728">
        <v>10.73956943</v>
      </c>
      <c r="G728">
        <v>76.029272509999998</v>
      </c>
      <c r="H728">
        <v>2</v>
      </c>
      <c r="I728" t="s">
        <v>14</v>
      </c>
      <c r="J728" t="s">
        <v>71</v>
      </c>
    </row>
    <row r="729" spans="1:10">
      <c r="A729">
        <v>313786</v>
      </c>
      <c r="B729" t="s">
        <v>698</v>
      </c>
      <c r="C729" t="s">
        <v>699</v>
      </c>
      <c r="D729" t="s">
        <v>70</v>
      </c>
      <c r="E729" t="s">
        <v>13</v>
      </c>
      <c r="F729">
        <v>11.139596149999999</v>
      </c>
      <c r="G729">
        <v>76.236113459999999</v>
      </c>
      <c r="H729">
        <v>1</v>
      </c>
      <c r="I729" t="s">
        <v>14</v>
      </c>
      <c r="J729" t="s">
        <v>71</v>
      </c>
    </row>
    <row r="730" spans="1:10">
      <c r="A730">
        <v>313785</v>
      </c>
      <c r="B730" t="s">
        <v>700</v>
      </c>
      <c r="C730" t="s">
        <v>701</v>
      </c>
      <c r="D730" t="s">
        <v>70</v>
      </c>
      <c r="E730" t="s">
        <v>13</v>
      </c>
      <c r="F730">
        <v>11.28804948</v>
      </c>
      <c r="G730">
        <v>76.297981710000002</v>
      </c>
      <c r="H730">
        <v>1</v>
      </c>
      <c r="I730" t="s">
        <v>14</v>
      </c>
      <c r="J730" t="s">
        <v>71</v>
      </c>
    </row>
    <row r="731" spans="1:10">
      <c r="A731">
        <v>313784</v>
      </c>
      <c r="B731" t="s">
        <v>702</v>
      </c>
      <c r="C731" t="s">
        <v>703</v>
      </c>
      <c r="D731" t="s">
        <v>70</v>
      </c>
      <c r="E731" t="s">
        <v>13</v>
      </c>
      <c r="F731">
        <v>11.28668073</v>
      </c>
      <c r="G731">
        <v>76.239263789999995</v>
      </c>
      <c r="H731">
        <v>1</v>
      </c>
      <c r="I731" t="s">
        <v>14</v>
      </c>
      <c r="J731" t="s">
        <v>71</v>
      </c>
    </row>
    <row r="732" spans="1:10">
      <c r="A732">
        <v>313783</v>
      </c>
      <c r="B732" t="s">
        <v>704</v>
      </c>
      <c r="C732" t="s">
        <v>703</v>
      </c>
      <c r="D732" t="s">
        <v>70</v>
      </c>
      <c r="E732" t="s">
        <v>13</v>
      </c>
      <c r="F732">
        <v>11.253647259999999</v>
      </c>
      <c r="G732">
        <v>76.201901199999995</v>
      </c>
      <c r="H732">
        <v>1</v>
      </c>
      <c r="I732" t="s">
        <v>14</v>
      </c>
      <c r="J732" t="s">
        <v>71</v>
      </c>
    </row>
    <row r="733" spans="1:10">
      <c r="A733">
        <v>313782</v>
      </c>
      <c r="B733" t="s">
        <v>705</v>
      </c>
      <c r="C733" t="s">
        <v>504</v>
      </c>
      <c r="D733" t="s">
        <v>70</v>
      </c>
      <c r="E733" t="s">
        <v>13</v>
      </c>
      <c r="F733">
        <v>11.12891582</v>
      </c>
      <c r="G733">
        <v>76.115394609999996</v>
      </c>
      <c r="H733">
        <v>3</v>
      </c>
      <c r="I733" t="s">
        <v>14</v>
      </c>
      <c r="J733" t="s">
        <v>71</v>
      </c>
    </row>
    <row r="734" spans="1:10">
      <c r="A734">
        <v>313781</v>
      </c>
      <c r="B734" t="s">
        <v>706</v>
      </c>
      <c r="C734" t="s">
        <v>501</v>
      </c>
      <c r="D734" t="s">
        <v>70</v>
      </c>
      <c r="E734" t="s">
        <v>13</v>
      </c>
      <c r="F734">
        <v>11.04318059</v>
      </c>
      <c r="G734">
        <v>76.08430156</v>
      </c>
      <c r="H734">
        <v>1</v>
      </c>
      <c r="I734" t="s">
        <v>14</v>
      </c>
      <c r="J734" t="s">
        <v>71</v>
      </c>
    </row>
    <row r="735" spans="1:10">
      <c r="A735">
        <v>313780</v>
      </c>
      <c r="B735" t="s">
        <v>707</v>
      </c>
      <c r="C735" t="s">
        <v>708</v>
      </c>
      <c r="D735" t="s">
        <v>70</v>
      </c>
      <c r="E735" t="s">
        <v>13</v>
      </c>
      <c r="F735">
        <v>11.021175489999999</v>
      </c>
      <c r="G735">
        <v>75.948126090000002</v>
      </c>
      <c r="H735">
        <v>1</v>
      </c>
      <c r="I735" t="s">
        <v>14</v>
      </c>
      <c r="J735" t="s">
        <v>71</v>
      </c>
    </row>
    <row r="736" spans="1:10">
      <c r="A736">
        <v>313779</v>
      </c>
      <c r="B736" t="s">
        <v>709</v>
      </c>
      <c r="C736" t="s">
        <v>501</v>
      </c>
      <c r="D736" t="s">
        <v>70</v>
      </c>
      <c r="E736" t="s">
        <v>13</v>
      </c>
      <c r="F736">
        <v>11.078417050000001</v>
      </c>
      <c r="G736">
        <v>75.902763919999998</v>
      </c>
      <c r="H736">
        <v>1</v>
      </c>
      <c r="I736" t="s">
        <v>14</v>
      </c>
      <c r="J736" t="s">
        <v>71</v>
      </c>
    </row>
    <row r="737" spans="1:10">
      <c r="A737">
        <v>313778</v>
      </c>
      <c r="B737" t="s">
        <v>710</v>
      </c>
      <c r="C737" t="s">
        <v>197</v>
      </c>
      <c r="D737" t="s">
        <v>711</v>
      </c>
      <c r="E737" t="s">
        <v>13</v>
      </c>
      <c r="F737">
        <v>11.23473742</v>
      </c>
      <c r="G737">
        <v>75.846706589999997</v>
      </c>
      <c r="H737">
        <v>1</v>
      </c>
      <c r="I737" t="s">
        <v>14</v>
      </c>
      <c r="J737" t="s">
        <v>71</v>
      </c>
    </row>
    <row r="738" spans="1:10">
      <c r="A738">
        <v>313777</v>
      </c>
      <c r="B738" t="s">
        <v>712</v>
      </c>
      <c r="C738" t="s">
        <v>713</v>
      </c>
      <c r="D738" t="s">
        <v>70</v>
      </c>
      <c r="E738" t="s">
        <v>13</v>
      </c>
      <c r="F738">
        <v>11.670801989999999</v>
      </c>
      <c r="G738">
        <v>76.361019659999997</v>
      </c>
      <c r="H738">
        <v>1</v>
      </c>
      <c r="I738" t="s">
        <v>14</v>
      </c>
      <c r="J738" t="s">
        <v>71</v>
      </c>
    </row>
    <row r="739" spans="1:10">
      <c r="A739">
        <v>313776</v>
      </c>
      <c r="B739" t="s">
        <v>714</v>
      </c>
      <c r="C739" t="s">
        <v>526</v>
      </c>
      <c r="D739" t="s">
        <v>70</v>
      </c>
      <c r="E739" t="s">
        <v>13</v>
      </c>
      <c r="F739">
        <v>11.59777661</v>
      </c>
      <c r="G739">
        <v>76.08013837</v>
      </c>
      <c r="H739">
        <v>1</v>
      </c>
      <c r="I739" t="s">
        <v>14</v>
      </c>
      <c r="J739" t="s">
        <v>71</v>
      </c>
    </row>
    <row r="740" spans="1:10">
      <c r="A740">
        <v>313775</v>
      </c>
      <c r="B740" t="s">
        <v>715</v>
      </c>
      <c r="C740" t="s">
        <v>716</v>
      </c>
      <c r="D740" t="s">
        <v>70</v>
      </c>
      <c r="E740" t="s">
        <v>13</v>
      </c>
      <c r="F740">
        <v>11.51834425</v>
      </c>
      <c r="G740">
        <v>76.021255699999998</v>
      </c>
      <c r="H740">
        <v>1</v>
      </c>
      <c r="I740" t="s">
        <v>14</v>
      </c>
      <c r="J740" t="s">
        <v>71</v>
      </c>
    </row>
    <row r="741" spans="1:10">
      <c r="A741">
        <v>313774</v>
      </c>
      <c r="B741" t="s">
        <v>717</v>
      </c>
      <c r="C741" t="s">
        <v>718</v>
      </c>
      <c r="D741" t="s">
        <v>70</v>
      </c>
      <c r="E741" t="s">
        <v>13</v>
      </c>
      <c r="F741">
        <v>11.31972723</v>
      </c>
      <c r="G741">
        <v>75.995517109999994</v>
      </c>
      <c r="H741">
        <v>2</v>
      </c>
      <c r="I741" t="s">
        <v>14</v>
      </c>
      <c r="J741" t="s">
        <v>71</v>
      </c>
    </row>
    <row r="742" spans="1:10">
      <c r="A742">
        <v>313773</v>
      </c>
      <c r="B742" t="s">
        <v>719</v>
      </c>
      <c r="C742" t="s">
        <v>720</v>
      </c>
      <c r="D742" t="s">
        <v>70</v>
      </c>
      <c r="E742" t="s">
        <v>13</v>
      </c>
      <c r="F742">
        <v>11.40469328</v>
      </c>
      <c r="G742">
        <v>75.929568059999994</v>
      </c>
      <c r="H742">
        <v>1</v>
      </c>
      <c r="I742" t="s">
        <v>14</v>
      </c>
      <c r="J742" t="s">
        <v>71</v>
      </c>
    </row>
    <row r="743" spans="1:10">
      <c r="A743">
        <v>313763</v>
      </c>
      <c r="B743" t="s">
        <v>721</v>
      </c>
      <c r="C743" t="s">
        <v>197</v>
      </c>
      <c r="D743" t="s">
        <v>70</v>
      </c>
      <c r="E743" t="s">
        <v>13</v>
      </c>
      <c r="F743">
        <v>11.25880102</v>
      </c>
      <c r="G743">
        <v>75.808904350000006</v>
      </c>
      <c r="H743">
        <v>4</v>
      </c>
      <c r="I743" t="s">
        <v>14</v>
      </c>
      <c r="J743" t="s">
        <v>71</v>
      </c>
    </row>
    <row r="744" spans="1:10">
      <c r="A744">
        <v>313762</v>
      </c>
      <c r="B744" t="s">
        <v>722</v>
      </c>
      <c r="C744" t="s">
        <v>197</v>
      </c>
      <c r="D744" t="s">
        <v>70</v>
      </c>
      <c r="E744" t="s">
        <v>13</v>
      </c>
      <c r="F744">
        <v>11.257861800000001</v>
      </c>
      <c r="G744">
        <v>75.780230599999996</v>
      </c>
      <c r="H744">
        <v>2</v>
      </c>
      <c r="I744" t="s">
        <v>14</v>
      </c>
      <c r="J744" t="s">
        <v>71</v>
      </c>
    </row>
    <row r="745" spans="1:10">
      <c r="A745">
        <v>313761</v>
      </c>
      <c r="B745" t="s">
        <v>723</v>
      </c>
      <c r="C745" t="s">
        <v>538</v>
      </c>
      <c r="D745" t="s">
        <v>70</v>
      </c>
      <c r="E745" t="s">
        <v>13</v>
      </c>
      <c r="F745">
        <v>11.92755972</v>
      </c>
      <c r="G745">
        <v>75.500473150000005</v>
      </c>
      <c r="H745">
        <v>1</v>
      </c>
      <c r="I745" t="s">
        <v>14</v>
      </c>
      <c r="J745" t="s">
        <v>71</v>
      </c>
    </row>
    <row r="746" spans="1:10">
      <c r="A746">
        <v>313760</v>
      </c>
      <c r="B746" t="s">
        <v>724</v>
      </c>
      <c r="C746" t="s">
        <v>725</v>
      </c>
      <c r="D746" t="s">
        <v>70</v>
      </c>
      <c r="E746" t="s">
        <v>13</v>
      </c>
      <c r="F746">
        <v>11.82580205</v>
      </c>
      <c r="G746">
        <v>75.508956710000007</v>
      </c>
      <c r="H746">
        <v>1</v>
      </c>
      <c r="I746" t="s">
        <v>14</v>
      </c>
      <c r="J746" t="s">
        <v>71</v>
      </c>
    </row>
    <row r="747" spans="1:10">
      <c r="A747">
        <v>313759</v>
      </c>
      <c r="B747" t="s">
        <v>726</v>
      </c>
      <c r="C747" t="s">
        <v>727</v>
      </c>
      <c r="D747" t="s">
        <v>70</v>
      </c>
      <c r="E747" t="s">
        <v>13</v>
      </c>
      <c r="F747">
        <v>11.871663699999999</v>
      </c>
      <c r="G747">
        <v>75.395985859999996</v>
      </c>
      <c r="H747">
        <v>1</v>
      </c>
      <c r="I747" t="s">
        <v>14</v>
      </c>
      <c r="J747" t="s">
        <v>71</v>
      </c>
    </row>
    <row r="748" spans="1:10">
      <c r="A748">
        <v>313758</v>
      </c>
      <c r="B748" t="s">
        <v>728</v>
      </c>
      <c r="C748" t="s">
        <v>538</v>
      </c>
      <c r="D748" t="s">
        <v>70</v>
      </c>
      <c r="E748" t="s">
        <v>13</v>
      </c>
      <c r="F748">
        <v>11.88020075</v>
      </c>
      <c r="G748">
        <v>75.374664789999997</v>
      </c>
      <c r="H748">
        <v>2</v>
      </c>
      <c r="I748" t="s">
        <v>14</v>
      </c>
      <c r="J748" t="s">
        <v>71</v>
      </c>
    </row>
    <row r="749" spans="1:10">
      <c r="A749">
        <v>313757</v>
      </c>
      <c r="B749" t="s">
        <v>729</v>
      </c>
      <c r="C749" t="s">
        <v>541</v>
      </c>
      <c r="D749" t="s">
        <v>70</v>
      </c>
      <c r="E749" t="s">
        <v>13</v>
      </c>
      <c r="F749">
        <v>12.08863773</v>
      </c>
      <c r="G749">
        <v>75.252645849999993</v>
      </c>
      <c r="H749">
        <v>2</v>
      </c>
      <c r="I749" t="s">
        <v>14</v>
      </c>
      <c r="J749" t="s">
        <v>71</v>
      </c>
    </row>
    <row r="750" spans="1:10">
      <c r="A750">
        <v>313756</v>
      </c>
      <c r="B750" t="s">
        <v>730</v>
      </c>
      <c r="C750" t="s">
        <v>731</v>
      </c>
      <c r="D750" t="s">
        <v>70</v>
      </c>
      <c r="E750" t="s">
        <v>13</v>
      </c>
      <c r="F750">
        <v>12.40580531</v>
      </c>
      <c r="G750">
        <v>75.096297609999993</v>
      </c>
      <c r="H750">
        <v>1</v>
      </c>
      <c r="I750" t="s">
        <v>14</v>
      </c>
      <c r="J750" t="s">
        <v>71</v>
      </c>
    </row>
    <row r="751" spans="1:10">
      <c r="A751">
        <v>313755</v>
      </c>
      <c r="B751" t="s">
        <v>732</v>
      </c>
      <c r="C751" t="s">
        <v>545</v>
      </c>
      <c r="D751" t="s">
        <v>70</v>
      </c>
      <c r="E751" t="s">
        <v>13</v>
      </c>
      <c r="F751">
        <v>12.50597417</v>
      </c>
      <c r="G751">
        <v>74.986780890000006</v>
      </c>
      <c r="H751">
        <v>1</v>
      </c>
      <c r="I751" t="s">
        <v>14</v>
      </c>
      <c r="J751" t="s">
        <v>174</v>
      </c>
    </row>
    <row r="752" spans="1:10">
      <c r="A752">
        <v>313754</v>
      </c>
      <c r="B752" t="s">
        <v>733</v>
      </c>
      <c r="C752" t="s">
        <v>734</v>
      </c>
      <c r="D752" t="s">
        <v>70</v>
      </c>
      <c r="E752" t="s">
        <v>13</v>
      </c>
      <c r="F752">
        <v>12.342505490000001</v>
      </c>
      <c r="G752">
        <v>75.112663670000003</v>
      </c>
      <c r="H752">
        <v>7</v>
      </c>
      <c r="I752" t="s">
        <v>14</v>
      </c>
      <c r="J752" t="s">
        <v>174</v>
      </c>
    </row>
    <row r="753" spans="1:10">
      <c r="A753">
        <v>313753</v>
      </c>
      <c r="B753" t="s">
        <v>735</v>
      </c>
      <c r="C753" t="s">
        <v>736</v>
      </c>
      <c r="D753" t="s">
        <v>70</v>
      </c>
      <c r="E753" t="s">
        <v>13</v>
      </c>
      <c r="F753">
        <v>12.227200229999999</v>
      </c>
      <c r="G753">
        <v>75.159119939999997</v>
      </c>
      <c r="H753">
        <v>3</v>
      </c>
      <c r="I753" t="s">
        <v>14</v>
      </c>
      <c r="J753" t="s">
        <v>174</v>
      </c>
    </row>
    <row r="754" spans="1:10">
      <c r="A754">
        <v>313752</v>
      </c>
      <c r="B754" t="s">
        <v>737</v>
      </c>
      <c r="C754" t="s">
        <v>738</v>
      </c>
      <c r="D754" t="s">
        <v>70</v>
      </c>
      <c r="E754" t="s">
        <v>13</v>
      </c>
      <c r="F754">
        <v>12.176970150000001</v>
      </c>
      <c r="G754">
        <v>75.246755800000003</v>
      </c>
      <c r="H754">
        <v>3</v>
      </c>
      <c r="I754" t="s">
        <v>14</v>
      </c>
      <c r="J754" t="s">
        <v>174</v>
      </c>
    </row>
    <row r="755" spans="1:10">
      <c r="A755">
        <v>313751</v>
      </c>
      <c r="B755" t="s">
        <v>739</v>
      </c>
      <c r="C755" t="s">
        <v>541</v>
      </c>
      <c r="D755" t="s">
        <v>70</v>
      </c>
      <c r="E755" t="s">
        <v>13</v>
      </c>
      <c r="F755">
        <v>12.20776624</v>
      </c>
      <c r="G755">
        <v>75.279452129999996</v>
      </c>
      <c r="H755">
        <v>2</v>
      </c>
      <c r="I755" t="s">
        <v>14</v>
      </c>
      <c r="J755" t="s">
        <v>174</v>
      </c>
    </row>
    <row r="756" spans="1:10">
      <c r="A756">
        <v>313750</v>
      </c>
      <c r="B756" t="s">
        <v>740</v>
      </c>
      <c r="C756" t="s">
        <v>741</v>
      </c>
      <c r="D756" t="s">
        <v>70</v>
      </c>
      <c r="E756" t="s">
        <v>13</v>
      </c>
      <c r="F756">
        <v>11.99744945</v>
      </c>
      <c r="G756">
        <v>75.370907529999997</v>
      </c>
      <c r="H756">
        <v>2</v>
      </c>
      <c r="I756" t="s">
        <v>14</v>
      </c>
      <c r="J756" t="s">
        <v>174</v>
      </c>
    </row>
    <row r="757" spans="1:10">
      <c r="A757">
        <v>313749</v>
      </c>
      <c r="B757" t="s">
        <v>742</v>
      </c>
      <c r="C757" t="s">
        <v>538</v>
      </c>
      <c r="D757" t="s">
        <v>70</v>
      </c>
      <c r="E757" t="s">
        <v>13</v>
      </c>
      <c r="F757">
        <v>11.87836828</v>
      </c>
      <c r="G757">
        <v>75.359526149999994</v>
      </c>
      <c r="H757">
        <v>6</v>
      </c>
      <c r="I757" t="s">
        <v>14</v>
      </c>
      <c r="J757" t="s">
        <v>174</v>
      </c>
    </row>
    <row r="758" spans="1:10">
      <c r="A758">
        <v>313748</v>
      </c>
      <c r="B758" t="s">
        <v>743</v>
      </c>
      <c r="C758" t="s">
        <v>79</v>
      </c>
      <c r="D758" t="s">
        <v>70</v>
      </c>
      <c r="E758" t="s">
        <v>13</v>
      </c>
      <c r="F758">
        <v>10.0873794</v>
      </c>
      <c r="G758">
        <v>77.061699630000007</v>
      </c>
      <c r="H758">
        <v>3</v>
      </c>
      <c r="I758" t="s">
        <v>14</v>
      </c>
      <c r="J758" t="s">
        <v>174</v>
      </c>
    </row>
    <row r="759" spans="1:10">
      <c r="A759">
        <v>313747</v>
      </c>
      <c r="B759" t="s">
        <v>744</v>
      </c>
      <c r="C759" t="s">
        <v>534</v>
      </c>
      <c r="D759" t="s">
        <v>70</v>
      </c>
      <c r="E759" t="s">
        <v>13</v>
      </c>
      <c r="F759">
        <v>11.98556153</v>
      </c>
      <c r="G759">
        <v>75.676181659999997</v>
      </c>
      <c r="H759">
        <v>1</v>
      </c>
      <c r="I759" t="s">
        <v>14</v>
      </c>
      <c r="J759" t="s">
        <v>174</v>
      </c>
    </row>
    <row r="760" spans="1:10">
      <c r="A760">
        <v>313746</v>
      </c>
      <c r="B760" t="s">
        <v>745</v>
      </c>
      <c r="C760" t="s">
        <v>746</v>
      </c>
      <c r="D760" t="s">
        <v>70</v>
      </c>
      <c r="E760" t="s">
        <v>13</v>
      </c>
      <c r="F760">
        <v>11.75486663</v>
      </c>
      <c r="G760">
        <v>75.57806506</v>
      </c>
      <c r="H760">
        <v>1</v>
      </c>
      <c r="I760" t="s">
        <v>14</v>
      </c>
      <c r="J760" t="s">
        <v>174</v>
      </c>
    </row>
    <row r="761" spans="1:10">
      <c r="A761">
        <v>313745</v>
      </c>
      <c r="B761" t="s">
        <v>747</v>
      </c>
      <c r="C761" t="s">
        <v>748</v>
      </c>
      <c r="D761" t="s">
        <v>70</v>
      </c>
      <c r="E761" t="s">
        <v>13</v>
      </c>
      <c r="F761">
        <v>11.520444919999999</v>
      </c>
      <c r="G761">
        <v>75.617987740000004</v>
      </c>
      <c r="H761">
        <v>1</v>
      </c>
      <c r="I761" t="s">
        <v>14</v>
      </c>
      <c r="J761" t="s">
        <v>174</v>
      </c>
    </row>
    <row r="762" spans="1:10">
      <c r="A762">
        <v>313744</v>
      </c>
      <c r="B762" t="s">
        <v>749</v>
      </c>
      <c r="C762" t="s">
        <v>750</v>
      </c>
      <c r="D762" t="s">
        <v>70</v>
      </c>
      <c r="E762" t="s">
        <v>13</v>
      </c>
      <c r="F762">
        <v>11.64890104</v>
      </c>
      <c r="G762">
        <v>75.755936480000003</v>
      </c>
      <c r="H762">
        <v>1</v>
      </c>
      <c r="I762" t="s">
        <v>14</v>
      </c>
      <c r="J762" t="s">
        <v>174</v>
      </c>
    </row>
    <row r="763" spans="1:10">
      <c r="A763">
        <v>313743</v>
      </c>
      <c r="B763" t="s">
        <v>751</v>
      </c>
      <c r="C763" t="s">
        <v>528</v>
      </c>
      <c r="D763" t="s">
        <v>70</v>
      </c>
      <c r="E763" t="s">
        <v>13</v>
      </c>
      <c r="F763">
        <v>11.67292398</v>
      </c>
      <c r="G763">
        <v>75.957305809999994</v>
      </c>
      <c r="H763">
        <v>6</v>
      </c>
      <c r="I763" t="s">
        <v>14</v>
      </c>
      <c r="J763" t="s">
        <v>174</v>
      </c>
    </row>
    <row r="764" spans="1:10">
      <c r="A764">
        <v>313742</v>
      </c>
      <c r="B764" t="s">
        <v>752</v>
      </c>
      <c r="C764" t="s">
        <v>753</v>
      </c>
      <c r="D764" t="s">
        <v>70</v>
      </c>
      <c r="E764" t="s">
        <v>13</v>
      </c>
      <c r="F764">
        <v>11.73640531</v>
      </c>
      <c r="G764">
        <v>75.986744229999999</v>
      </c>
      <c r="H764">
        <v>2</v>
      </c>
      <c r="I764" t="s">
        <v>14</v>
      </c>
      <c r="J764" t="s">
        <v>174</v>
      </c>
    </row>
    <row r="765" spans="1:10">
      <c r="A765">
        <v>313741</v>
      </c>
      <c r="B765" t="s">
        <v>754</v>
      </c>
      <c r="C765" t="s">
        <v>755</v>
      </c>
      <c r="D765" t="s">
        <v>70</v>
      </c>
      <c r="E765" t="s">
        <v>13</v>
      </c>
      <c r="F765">
        <v>11.79697764</v>
      </c>
      <c r="G765">
        <v>76.006601130000007</v>
      </c>
      <c r="H765">
        <v>2</v>
      </c>
      <c r="I765" t="s">
        <v>14</v>
      </c>
      <c r="J765" t="s">
        <v>174</v>
      </c>
    </row>
    <row r="766" spans="1:10">
      <c r="A766">
        <v>313740</v>
      </c>
      <c r="B766" t="s">
        <v>756</v>
      </c>
      <c r="C766" t="s">
        <v>522</v>
      </c>
      <c r="D766" t="s">
        <v>70</v>
      </c>
      <c r="E766" t="s">
        <v>13</v>
      </c>
      <c r="F766">
        <v>11.66208634</v>
      </c>
      <c r="G766">
        <v>76.264921709999996</v>
      </c>
      <c r="H766">
        <v>4</v>
      </c>
      <c r="I766" t="s">
        <v>14</v>
      </c>
      <c r="J766" t="s">
        <v>174</v>
      </c>
    </row>
    <row r="767" spans="1:10">
      <c r="A767">
        <v>313739</v>
      </c>
      <c r="B767" t="s">
        <v>757</v>
      </c>
      <c r="C767" t="s">
        <v>524</v>
      </c>
      <c r="D767" t="s">
        <v>70</v>
      </c>
      <c r="E767" t="s">
        <v>13</v>
      </c>
      <c r="F767">
        <v>11.654045699999999</v>
      </c>
      <c r="G767">
        <v>76.153585239999998</v>
      </c>
      <c r="H767">
        <v>2</v>
      </c>
      <c r="I767" t="s">
        <v>14</v>
      </c>
      <c r="J767" t="s">
        <v>174</v>
      </c>
    </row>
    <row r="768" spans="1:10">
      <c r="A768">
        <v>313738</v>
      </c>
      <c r="B768" t="s">
        <v>758</v>
      </c>
      <c r="C768" t="s">
        <v>526</v>
      </c>
      <c r="D768" t="s">
        <v>70</v>
      </c>
      <c r="E768" t="s">
        <v>13</v>
      </c>
      <c r="F768">
        <v>11.59145545</v>
      </c>
      <c r="G768">
        <v>76.070909779999994</v>
      </c>
      <c r="H768">
        <v>4</v>
      </c>
      <c r="I768" t="s">
        <v>14</v>
      </c>
      <c r="J768" t="s">
        <v>174</v>
      </c>
    </row>
    <row r="769" spans="1:10">
      <c r="A769">
        <v>313737</v>
      </c>
      <c r="B769" t="s">
        <v>759</v>
      </c>
      <c r="C769" t="s">
        <v>760</v>
      </c>
      <c r="D769" t="s">
        <v>70</v>
      </c>
      <c r="E769" t="s">
        <v>13</v>
      </c>
      <c r="F769">
        <v>11.54575372</v>
      </c>
      <c r="G769">
        <v>76.039371930000001</v>
      </c>
      <c r="H769">
        <v>6</v>
      </c>
      <c r="I769" t="s">
        <v>14</v>
      </c>
      <c r="J769" t="s">
        <v>174</v>
      </c>
    </row>
    <row r="770" spans="1:10">
      <c r="A770">
        <v>313736</v>
      </c>
      <c r="B770" t="s">
        <v>761</v>
      </c>
      <c r="C770" t="s">
        <v>720</v>
      </c>
      <c r="D770" t="s">
        <v>70</v>
      </c>
      <c r="E770" t="s">
        <v>13</v>
      </c>
      <c r="F770">
        <v>11.44408743</v>
      </c>
      <c r="G770">
        <v>75.955876910000001</v>
      </c>
      <c r="H770">
        <v>6</v>
      </c>
      <c r="I770" t="s">
        <v>14</v>
      </c>
      <c r="J770" t="s">
        <v>174</v>
      </c>
    </row>
    <row r="771" spans="1:10">
      <c r="A771">
        <v>313735</v>
      </c>
      <c r="B771" t="s">
        <v>762</v>
      </c>
      <c r="C771" t="s">
        <v>763</v>
      </c>
      <c r="D771" t="s">
        <v>70</v>
      </c>
      <c r="E771" t="s">
        <v>13</v>
      </c>
      <c r="F771">
        <v>11.339683839999999</v>
      </c>
      <c r="G771">
        <v>75.898715690000003</v>
      </c>
      <c r="H771">
        <v>6</v>
      </c>
      <c r="I771" t="s">
        <v>14</v>
      </c>
      <c r="J771" t="s">
        <v>174</v>
      </c>
    </row>
    <row r="772" spans="1:10">
      <c r="A772">
        <v>313734</v>
      </c>
      <c r="B772" t="s">
        <v>764</v>
      </c>
      <c r="C772" t="s">
        <v>765</v>
      </c>
      <c r="D772" t="s">
        <v>70</v>
      </c>
      <c r="E772" t="s">
        <v>13</v>
      </c>
      <c r="F772">
        <v>11.311692150000001</v>
      </c>
      <c r="G772">
        <v>75.882593400000005</v>
      </c>
      <c r="H772">
        <v>2</v>
      </c>
      <c r="I772" t="s">
        <v>14</v>
      </c>
      <c r="J772" t="s">
        <v>174</v>
      </c>
    </row>
    <row r="773" spans="1:10">
      <c r="A773">
        <v>313733</v>
      </c>
      <c r="B773" t="s">
        <v>766</v>
      </c>
      <c r="C773" t="s">
        <v>197</v>
      </c>
      <c r="D773" t="s">
        <v>70</v>
      </c>
      <c r="E773" t="s">
        <v>13</v>
      </c>
      <c r="F773">
        <v>11.28067356</v>
      </c>
      <c r="G773">
        <v>75.824631670000002</v>
      </c>
      <c r="H773">
        <v>1</v>
      </c>
      <c r="I773" t="s">
        <v>14</v>
      </c>
      <c r="J773" t="s">
        <v>174</v>
      </c>
    </row>
    <row r="774" spans="1:10">
      <c r="A774">
        <v>313732</v>
      </c>
      <c r="B774" t="s">
        <v>767</v>
      </c>
      <c r="C774" t="s">
        <v>197</v>
      </c>
      <c r="D774" t="s">
        <v>70</v>
      </c>
      <c r="E774" t="s">
        <v>13</v>
      </c>
      <c r="F774">
        <v>11.28081467</v>
      </c>
      <c r="G774">
        <v>75.824349769999998</v>
      </c>
      <c r="H774">
        <v>1</v>
      </c>
      <c r="I774" t="s">
        <v>14</v>
      </c>
      <c r="J774" t="s">
        <v>174</v>
      </c>
    </row>
    <row r="775" spans="1:10">
      <c r="A775">
        <v>313731</v>
      </c>
      <c r="B775" t="s">
        <v>768</v>
      </c>
      <c r="C775" t="s">
        <v>769</v>
      </c>
      <c r="D775" t="s">
        <v>70</v>
      </c>
      <c r="E775" t="s">
        <v>13</v>
      </c>
      <c r="F775">
        <v>11.427675410000001</v>
      </c>
      <c r="G775">
        <v>75.702996240000004</v>
      </c>
      <c r="H775">
        <v>1</v>
      </c>
      <c r="I775" t="s">
        <v>14</v>
      </c>
      <c r="J775" t="s">
        <v>174</v>
      </c>
    </row>
    <row r="776" spans="1:10">
      <c r="A776">
        <v>313729</v>
      </c>
      <c r="B776" t="s">
        <v>770</v>
      </c>
      <c r="C776" t="s">
        <v>771</v>
      </c>
      <c r="D776" t="s">
        <v>357</v>
      </c>
      <c r="E776" t="s">
        <v>13</v>
      </c>
      <c r="F776">
        <v>12.352687400000001</v>
      </c>
      <c r="G776">
        <v>76.6292033</v>
      </c>
      <c r="H776">
        <v>1</v>
      </c>
      <c r="I776" t="s">
        <v>14</v>
      </c>
      <c r="J776" t="s">
        <v>198</v>
      </c>
    </row>
    <row r="777" spans="1:10">
      <c r="A777">
        <v>313728</v>
      </c>
      <c r="B777" t="s">
        <v>772</v>
      </c>
      <c r="C777" t="s">
        <v>771</v>
      </c>
      <c r="D777" t="s">
        <v>357</v>
      </c>
      <c r="E777" t="s">
        <v>13</v>
      </c>
      <c r="F777">
        <v>12.350145879999999</v>
      </c>
      <c r="G777">
        <v>76.660198910000005</v>
      </c>
      <c r="H777">
        <v>1</v>
      </c>
      <c r="I777" t="s">
        <v>14</v>
      </c>
      <c r="J777" t="s">
        <v>198</v>
      </c>
    </row>
    <row r="778" spans="1:10">
      <c r="A778">
        <v>313727</v>
      </c>
      <c r="B778" t="s">
        <v>773</v>
      </c>
      <c r="C778" t="s">
        <v>774</v>
      </c>
      <c r="D778" t="s">
        <v>70</v>
      </c>
      <c r="E778" t="s">
        <v>13</v>
      </c>
      <c r="F778">
        <v>11.312411620000001</v>
      </c>
      <c r="G778">
        <v>75.75859063</v>
      </c>
      <c r="H778">
        <v>6</v>
      </c>
      <c r="I778" t="s">
        <v>14</v>
      </c>
      <c r="J778" t="s">
        <v>174</v>
      </c>
    </row>
    <row r="779" spans="1:10">
      <c r="A779">
        <v>313726</v>
      </c>
      <c r="B779" t="s">
        <v>775</v>
      </c>
      <c r="C779" t="s">
        <v>197</v>
      </c>
      <c r="D779" t="s">
        <v>70</v>
      </c>
      <c r="E779" t="s">
        <v>13</v>
      </c>
      <c r="F779">
        <v>11.262784460000001</v>
      </c>
      <c r="G779">
        <v>75.76824105</v>
      </c>
      <c r="H779">
        <v>1</v>
      </c>
      <c r="I779" t="s">
        <v>14</v>
      </c>
      <c r="J779" t="s">
        <v>174</v>
      </c>
    </row>
    <row r="780" spans="1:10">
      <c r="A780">
        <v>313725</v>
      </c>
      <c r="B780" t="s">
        <v>776</v>
      </c>
      <c r="C780" t="s">
        <v>777</v>
      </c>
      <c r="D780" t="s">
        <v>70</v>
      </c>
      <c r="E780" t="s">
        <v>13</v>
      </c>
      <c r="F780">
        <v>11.38662806</v>
      </c>
      <c r="G780">
        <v>76.35472249</v>
      </c>
      <c r="H780">
        <v>1</v>
      </c>
      <c r="I780" t="s">
        <v>14</v>
      </c>
      <c r="J780" t="s">
        <v>174</v>
      </c>
    </row>
    <row r="781" spans="1:10">
      <c r="A781">
        <v>313724</v>
      </c>
      <c r="B781" t="s">
        <v>778</v>
      </c>
      <c r="C781" t="s">
        <v>257</v>
      </c>
      <c r="D781" t="s">
        <v>70</v>
      </c>
      <c r="E781" t="s">
        <v>13</v>
      </c>
      <c r="F781">
        <v>11.245323150000001</v>
      </c>
      <c r="G781">
        <v>75.977491749999999</v>
      </c>
      <c r="H781">
        <v>1</v>
      </c>
      <c r="I781" t="s">
        <v>14</v>
      </c>
      <c r="J781" t="s">
        <v>174</v>
      </c>
    </row>
    <row r="782" spans="1:10">
      <c r="A782">
        <v>313723</v>
      </c>
      <c r="B782" t="s">
        <v>779</v>
      </c>
      <c r="C782" t="s">
        <v>780</v>
      </c>
      <c r="D782" t="s">
        <v>70</v>
      </c>
      <c r="E782" t="s">
        <v>13</v>
      </c>
      <c r="F782">
        <v>11.18074376</v>
      </c>
      <c r="G782">
        <v>75.851198640000007</v>
      </c>
      <c r="H782">
        <v>1</v>
      </c>
      <c r="I782" t="s">
        <v>14</v>
      </c>
      <c r="J782" t="s">
        <v>174</v>
      </c>
    </row>
    <row r="783" spans="1:10">
      <c r="A783">
        <v>313722</v>
      </c>
      <c r="B783" t="s">
        <v>781</v>
      </c>
      <c r="C783" t="s">
        <v>782</v>
      </c>
      <c r="D783" t="s">
        <v>70</v>
      </c>
      <c r="E783" t="s">
        <v>13</v>
      </c>
      <c r="F783">
        <v>11.168867779999999</v>
      </c>
      <c r="G783">
        <v>75.926768629999998</v>
      </c>
      <c r="H783">
        <v>1</v>
      </c>
      <c r="I783" t="s">
        <v>14</v>
      </c>
      <c r="J783" t="s">
        <v>174</v>
      </c>
    </row>
    <row r="784" spans="1:10">
      <c r="A784">
        <v>313721</v>
      </c>
      <c r="B784" t="s">
        <v>767</v>
      </c>
      <c r="C784" t="s">
        <v>783</v>
      </c>
      <c r="D784" t="s">
        <v>70</v>
      </c>
      <c r="E784" t="s">
        <v>13</v>
      </c>
      <c r="F784">
        <v>11.17327991</v>
      </c>
      <c r="G784">
        <v>75.902151799999999</v>
      </c>
      <c r="H784">
        <v>1</v>
      </c>
      <c r="I784" t="s">
        <v>14</v>
      </c>
      <c r="J784" t="s">
        <v>174</v>
      </c>
    </row>
    <row r="785" spans="1:10">
      <c r="A785">
        <v>313720</v>
      </c>
      <c r="B785" t="s">
        <v>784</v>
      </c>
      <c r="C785" t="s">
        <v>785</v>
      </c>
      <c r="D785" t="s">
        <v>70</v>
      </c>
      <c r="E785" t="s">
        <v>13</v>
      </c>
      <c r="F785">
        <v>11.14491898</v>
      </c>
      <c r="G785">
        <v>75.896169760000006</v>
      </c>
      <c r="H785">
        <v>2</v>
      </c>
      <c r="I785" t="s">
        <v>14</v>
      </c>
      <c r="J785" t="s">
        <v>174</v>
      </c>
    </row>
    <row r="786" spans="1:10">
      <c r="A786">
        <v>313719</v>
      </c>
      <c r="B786" t="s">
        <v>786</v>
      </c>
      <c r="C786" t="s">
        <v>117</v>
      </c>
      <c r="D786" t="s">
        <v>70</v>
      </c>
      <c r="E786" t="s">
        <v>13</v>
      </c>
      <c r="F786">
        <v>10.91624728</v>
      </c>
      <c r="G786">
        <v>75.918286539999997</v>
      </c>
      <c r="H786">
        <v>5</v>
      </c>
      <c r="I786" t="s">
        <v>14</v>
      </c>
      <c r="J786" t="s">
        <v>174</v>
      </c>
    </row>
    <row r="787" spans="1:10">
      <c r="A787">
        <v>313718</v>
      </c>
      <c r="B787" t="s">
        <v>787</v>
      </c>
      <c r="C787" t="s">
        <v>788</v>
      </c>
      <c r="D787" t="s">
        <v>70</v>
      </c>
      <c r="E787" t="s">
        <v>13</v>
      </c>
      <c r="F787">
        <v>10.92282041</v>
      </c>
      <c r="G787">
        <v>76.032918409999994</v>
      </c>
      <c r="H787">
        <v>2</v>
      </c>
      <c r="I787" t="s">
        <v>14</v>
      </c>
      <c r="J787" t="s">
        <v>174</v>
      </c>
    </row>
    <row r="788" spans="1:10">
      <c r="A788">
        <v>313717</v>
      </c>
      <c r="B788" t="s">
        <v>789</v>
      </c>
      <c r="C788" t="s">
        <v>790</v>
      </c>
      <c r="D788" t="s">
        <v>70</v>
      </c>
      <c r="E788" t="s">
        <v>13</v>
      </c>
      <c r="F788">
        <v>11.001726590000001</v>
      </c>
      <c r="G788">
        <v>75.980449419999999</v>
      </c>
      <c r="H788">
        <v>2</v>
      </c>
      <c r="I788" t="s">
        <v>14</v>
      </c>
      <c r="J788" t="s">
        <v>174</v>
      </c>
    </row>
    <row r="789" spans="1:10">
      <c r="A789">
        <v>313716</v>
      </c>
      <c r="B789" t="s">
        <v>791</v>
      </c>
      <c r="C789" t="s">
        <v>792</v>
      </c>
      <c r="D789" t="s">
        <v>70</v>
      </c>
      <c r="E789" t="s">
        <v>13</v>
      </c>
      <c r="F789">
        <v>11.054224530000001</v>
      </c>
      <c r="G789">
        <v>76.092143019999995</v>
      </c>
      <c r="H789">
        <v>6</v>
      </c>
      <c r="I789" t="s">
        <v>14</v>
      </c>
      <c r="J789" t="s">
        <v>174</v>
      </c>
    </row>
    <row r="790" spans="1:10">
      <c r="A790">
        <v>313715</v>
      </c>
      <c r="B790" t="s">
        <v>793</v>
      </c>
      <c r="C790" t="s">
        <v>504</v>
      </c>
      <c r="D790" t="s">
        <v>70</v>
      </c>
      <c r="E790" t="s">
        <v>13</v>
      </c>
      <c r="F790">
        <v>11.12303335</v>
      </c>
      <c r="G790">
        <v>76.115868430000006</v>
      </c>
      <c r="H790">
        <v>1</v>
      </c>
      <c r="I790" t="s">
        <v>14</v>
      </c>
      <c r="J790" t="s">
        <v>174</v>
      </c>
    </row>
    <row r="791" spans="1:10">
      <c r="A791">
        <v>313714</v>
      </c>
      <c r="B791" t="s">
        <v>794</v>
      </c>
      <c r="C791" t="s">
        <v>504</v>
      </c>
      <c r="D791" t="s">
        <v>70</v>
      </c>
      <c r="E791" t="s">
        <v>13</v>
      </c>
      <c r="F791">
        <v>11.12341107</v>
      </c>
      <c r="G791">
        <v>76.124185159999996</v>
      </c>
      <c r="H791">
        <v>1</v>
      </c>
      <c r="I791" t="s">
        <v>14</v>
      </c>
      <c r="J791" t="s">
        <v>174</v>
      </c>
    </row>
    <row r="792" spans="1:10">
      <c r="A792">
        <v>313713</v>
      </c>
      <c r="B792" t="s">
        <v>795</v>
      </c>
      <c r="C792" t="s">
        <v>699</v>
      </c>
      <c r="D792" t="s">
        <v>70</v>
      </c>
      <c r="E792" t="s">
        <v>13</v>
      </c>
      <c r="F792">
        <v>11.09639986</v>
      </c>
      <c r="G792">
        <v>76.210707049999996</v>
      </c>
      <c r="H792">
        <v>2</v>
      </c>
      <c r="I792" t="s">
        <v>14</v>
      </c>
      <c r="J792" t="s">
        <v>174</v>
      </c>
    </row>
    <row r="793" spans="1:10">
      <c r="A793">
        <v>313712</v>
      </c>
      <c r="B793" t="s">
        <v>796</v>
      </c>
      <c r="C793" t="s">
        <v>797</v>
      </c>
      <c r="D793" t="s">
        <v>70</v>
      </c>
      <c r="E793" t="s">
        <v>13</v>
      </c>
      <c r="F793">
        <v>11.05620809</v>
      </c>
      <c r="G793">
        <v>76.278512030000002</v>
      </c>
      <c r="H793">
        <v>2</v>
      </c>
      <c r="I793" t="s">
        <v>14</v>
      </c>
      <c r="J793" t="s">
        <v>174</v>
      </c>
    </row>
    <row r="794" spans="1:10">
      <c r="A794">
        <v>313711</v>
      </c>
      <c r="B794" t="s">
        <v>798</v>
      </c>
      <c r="C794" t="s">
        <v>799</v>
      </c>
      <c r="D794" t="s">
        <v>70</v>
      </c>
      <c r="E794" t="s">
        <v>13</v>
      </c>
      <c r="F794">
        <v>11.03450239</v>
      </c>
      <c r="G794">
        <v>76.261886610000005</v>
      </c>
      <c r="H794">
        <v>1</v>
      </c>
      <c r="I794" t="s">
        <v>14</v>
      </c>
      <c r="J794" t="s">
        <v>174</v>
      </c>
    </row>
    <row r="795" spans="1:10">
      <c r="A795">
        <v>313710</v>
      </c>
      <c r="B795" t="s">
        <v>800</v>
      </c>
      <c r="C795" t="s">
        <v>259</v>
      </c>
      <c r="D795" t="s">
        <v>70</v>
      </c>
      <c r="E795" t="s">
        <v>13</v>
      </c>
      <c r="F795">
        <v>10.977193890000001</v>
      </c>
      <c r="G795">
        <v>76.221650890000006</v>
      </c>
      <c r="H795">
        <v>2</v>
      </c>
      <c r="I795" t="s">
        <v>14</v>
      </c>
      <c r="J795" t="s">
        <v>174</v>
      </c>
    </row>
    <row r="796" spans="1:10">
      <c r="A796">
        <v>313709</v>
      </c>
      <c r="B796" t="s">
        <v>801</v>
      </c>
      <c r="C796" t="s">
        <v>693</v>
      </c>
      <c r="D796" t="s">
        <v>70</v>
      </c>
      <c r="E796" t="s">
        <v>13</v>
      </c>
      <c r="F796">
        <v>10.98886452</v>
      </c>
      <c r="G796">
        <v>76.436688509999996</v>
      </c>
      <c r="H796">
        <v>2</v>
      </c>
      <c r="I796" t="s">
        <v>14</v>
      </c>
      <c r="J796" t="s">
        <v>174</v>
      </c>
    </row>
    <row r="797" spans="1:10">
      <c r="A797">
        <v>313708</v>
      </c>
      <c r="B797" t="s">
        <v>802</v>
      </c>
      <c r="C797" t="s">
        <v>803</v>
      </c>
      <c r="D797" t="s">
        <v>70</v>
      </c>
      <c r="E797" t="s">
        <v>13</v>
      </c>
      <c r="F797">
        <v>10.80936299</v>
      </c>
      <c r="G797">
        <v>76.846321590000002</v>
      </c>
      <c r="H797">
        <v>4</v>
      </c>
      <c r="I797" t="s">
        <v>14</v>
      </c>
      <c r="J797" t="s">
        <v>174</v>
      </c>
    </row>
    <row r="798" spans="1:10">
      <c r="A798">
        <v>313707</v>
      </c>
      <c r="B798" t="s">
        <v>804</v>
      </c>
      <c r="C798" t="s">
        <v>805</v>
      </c>
      <c r="D798" t="s">
        <v>70</v>
      </c>
      <c r="E798" t="s">
        <v>13</v>
      </c>
      <c r="F798">
        <v>10.80227998</v>
      </c>
      <c r="G798">
        <v>76.785202990000002</v>
      </c>
      <c r="H798">
        <v>2</v>
      </c>
      <c r="I798" t="s">
        <v>14</v>
      </c>
      <c r="J798" t="s">
        <v>174</v>
      </c>
    </row>
    <row r="799" spans="1:10">
      <c r="A799">
        <v>313706</v>
      </c>
      <c r="B799" t="s">
        <v>806</v>
      </c>
      <c r="C799" t="s">
        <v>264</v>
      </c>
      <c r="D799" t="s">
        <v>70</v>
      </c>
      <c r="E799" t="s">
        <v>13</v>
      </c>
      <c r="F799">
        <v>10.78535486</v>
      </c>
      <c r="G799">
        <v>76.603955679999999</v>
      </c>
      <c r="H799">
        <v>2</v>
      </c>
      <c r="I799" t="s">
        <v>14</v>
      </c>
      <c r="J799" t="s">
        <v>174</v>
      </c>
    </row>
    <row r="800" spans="1:10">
      <c r="A800">
        <v>313705</v>
      </c>
      <c r="B800" t="s">
        <v>807</v>
      </c>
      <c r="C800" t="s">
        <v>808</v>
      </c>
      <c r="D800" t="s">
        <v>70</v>
      </c>
      <c r="E800" t="s">
        <v>13</v>
      </c>
      <c r="F800">
        <v>10.83949185</v>
      </c>
      <c r="G800">
        <v>76.579999709999996</v>
      </c>
      <c r="H800">
        <v>1</v>
      </c>
      <c r="I800" t="s">
        <v>14</v>
      </c>
      <c r="J800" t="s">
        <v>174</v>
      </c>
    </row>
    <row r="801" spans="1:10">
      <c r="A801">
        <v>313704</v>
      </c>
      <c r="B801" t="s">
        <v>809</v>
      </c>
      <c r="C801" t="s">
        <v>810</v>
      </c>
      <c r="D801" t="s">
        <v>70</v>
      </c>
      <c r="E801" t="s">
        <v>13</v>
      </c>
      <c r="F801">
        <v>10.89808011</v>
      </c>
      <c r="G801">
        <v>76.395295649999994</v>
      </c>
      <c r="H801">
        <v>1</v>
      </c>
      <c r="I801" t="s">
        <v>14</v>
      </c>
      <c r="J801" t="s">
        <v>174</v>
      </c>
    </row>
    <row r="802" spans="1:10">
      <c r="A802">
        <v>313703</v>
      </c>
      <c r="B802" t="s">
        <v>811</v>
      </c>
      <c r="C802" t="s">
        <v>716</v>
      </c>
      <c r="D802" t="s">
        <v>70</v>
      </c>
      <c r="E802" t="s">
        <v>13</v>
      </c>
      <c r="F802">
        <v>10.77814249</v>
      </c>
      <c r="G802">
        <v>76.437430379999995</v>
      </c>
      <c r="H802">
        <v>2</v>
      </c>
      <c r="I802" t="s">
        <v>14</v>
      </c>
      <c r="J802" t="s">
        <v>174</v>
      </c>
    </row>
    <row r="803" spans="1:10">
      <c r="A803">
        <v>313702</v>
      </c>
      <c r="B803" t="s">
        <v>812</v>
      </c>
      <c r="C803" t="s">
        <v>813</v>
      </c>
      <c r="D803" t="s">
        <v>70</v>
      </c>
      <c r="E803" t="s">
        <v>13</v>
      </c>
      <c r="F803">
        <v>10.77974601</v>
      </c>
      <c r="G803">
        <v>76.28528086</v>
      </c>
      <c r="H803">
        <v>9</v>
      </c>
      <c r="I803" t="s">
        <v>14</v>
      </c>
      <c r="J803" t="s">
        <v>174</v>
      </c>
    </row>
    <row r="804" spans="1:10">
      <c r="A804">
        <v>313701</v>
      </c>
      <c r="B804" t="s">
        <v>814</v>
      </c>
      <c r="C804" t="s">
        <v>487</v>
      </c>
      <c r="D804" t="s">
        <v>70</v>
      </c>
      <c r="E804" t="s">
        <v>13</v>
      </c>
      <c r="F804">
        <v>10.87826592</v>
      </c>
      <c r="G804">
        <v>76.187606619999997</v>
      </c>
      <c r="H804">
        <v>1</v>
      </c>
      <c r="I804" t="s">
        <v>14</v>
      </c>
      <c r="J804" t="s">
        <v>174</v>
      </c>
    </row>
    <row r="805" spans="1:10">
      <c r="A805">
        <v>313700</v>
      </c>
      <c r="B805" t="s">
        <v>815</v>
      </c>
      <c r="C805" t="s">
        <v>688</v>
      </c>
      <c r="D805" t="s">
        <v>70</v>
      </c>
      <c r="E805" t="s">
        <v>13</v>
      </c>
      <c r="F805">
        <v>10.801586110000001</v>
      </c>
      <c r="G805">
        <v>76.178408430000005</v>
      </c>
      <c r="H805">
        <v>2</v>
      </c>
      <c r="I805" t="s">
        <v>14</v>
      </c>
      <c r="J805" t="s">
        <v>174</v>
      </c>
    </row>
    <row r="806" spans="1:10">
      <c r="A806">
        <v>313699</v>
      </c>
      <c r="B806" t="s">
        <v>816</v>
      </c>
      <c r="C806" t="s">
        <v>817</v>
      </c>
      <c r="D806" t="s">
        <v>70</v>
      </c>
      <c r="E806" t="s">
        <v>13</v>
      </c>
      <c r="F806">
        <v>10.758293200000001</v>
      </c>
      <c r="G806">
        <v>76.130366449999997</v>
      </c>
      <c r="H806">
        <v>1</v>
      </c>
      <c r="I806" t="s">
        <v>14</v>
      </c>
      <c r="J806" t="s">
        <v>174</v>
      </c>
    </row>
    <row r="807" spans="1:10">
      <c r="A807">
        <v>313698</v>
      </c>
      <c r="B807" t="s">
        <v>818</v>
      </c>
      <c r="C807" t="s">
        <v>697</v>
      </c>
      <c r="D807" t="s">
        <v>70</v>
      </c>
      <c r="E807" t="s">
        <v>13</v>
      </c>
      <c r="F807">
        <v>10.734551959999999</v>
      </c>
      <c r="G807">
        <v>76.048646689999998</v>
      </c>
      <c r="H807">
        <v>2</v>
      </c>
      <c r="I807" t="s">
        <v>14</v>
      </c>
      <c r="J807" t="s">
        <v>174</v>
      </c>
    </row>
    <row r="808" spans="1:10">
      <c r="A808">
        <v>313697</v>
      </c>
      <c r="B808" t="s">
        <v>819</v>
      </c>
      <c r="C808" t="s">
        <v>697</v>
      </c>
      <c r="D808" t="s">
        <v>70</v>
      </c>
      <c r="E808" t="s">
        <v>13</v>
      </c>
      <c r="F808">
        <v>10.73260554</v>
      </c>
      <c r="G808">
        <v>76.037430069999999</v>
      </c>
      <c r="H808">
        <v>1</v>
      </c>
      <c r="I808" t="s">
        <v>14</v>
      </c>
      <c r="J808" t="s">
        <v>174</v>
      </c>
    </row>
    <row r="809" spans="1:10">
      <c r="A809">
        <v>313696</v>
      </c>
      <c r="B809" t="s">
        <v>820</v>
      </c>
      <c r="C809" t="s">
        <v>821</v>
      </c>
      <c r="D809" t="s">
        <v>70</v>
      </c>
      <c r="E809" t="s">
        <v>13</v>
      </c>
      <c r="F809">
        <v>10.733824070000001</v>
      </c>
      <c r="G809">
        <v>75.974813119999993</v>
      </c>
      <c r="H809">
        <v>2</v>
      </c>
      <c r="I809" t="s">
        <v>14</v>
      </c>
      <c r="J809" t="s">
        <v>174</v>
      </c>
    </row>
    <row r="810" spans="1:10">
      <c r="A810">
        <v>313695</v>
      </c>
      <c r="B810" t="s">
        <v>822</v>
      </c>
      <c r="C810" t="s">
        <v>823</v>
      </c>
      <c r="D810" t="s">
        <v>70</v>
      </c>
      <c r="E810" t="s">
        <v>13</v>
      </c>
      <c r="F810">
        <v>10.78474624</v>
      </c>
      <c r="G810">
        <v>75.947152360000004</v>
      </c>
      <c r="H810">
        <v>1</v>
      </c>
      <c r="I810" t="s">
        <v>14</v>
      </c>
      <c r="J810" t="s">
        <v>174</v>
      </c>
    </row>
    <row r="811" spans="1:10">
      <c r="A811">
        <v>313694</v>
      </c>
      <c r="B811" t="s">
        <v>824</v>
      </c>
      <c r="C811" t="s">
        <v>825</v>
      </c>
      <c r="D811" t="s">
        <v>70</v>
      </c>
      <c r="E811" t="s">
        <v>13</v>
      </c>
      <c r="F811">
        <v>10.77270263</v>
      </c>
      <c r="G811">
        <v>75.947151500000004</v>
      </c>
      <c r="H811">
        <v>6</v>
      </c>
      <c r="I811" t="s">
        <v>14</v>
      </c>
      <c r="J811" t="s">
        <v>174</v>
      </c>
    </row>
    <row r="812" spans="1:10">
      <c r="A812">
        <v>313693</v>
      </c>
      <c r="B812" t="s">
        <v>804</v>
      </c>
      <c r="C812" t="s">
        <v>826</v>
      </c>
      <c r="D812" t="s">
        <v>70</v>
      </c>
      <c r="E812" t="s">
        <v>13</v>
      </c>
      <c r="F812">
        <v>10.681340820000001</v>
      </c>
      <c r="G812">
        <v>76.169669990000003</v>
      </c>
      <c r="H812">
        <v>2</v>
      </c>
      <c r="I812" t="s">
        <v>14</v>
      </c>
      <c r="J812" t="s">
        <v>174</v>
      </c>
    </row>
    <row r="813" spans="1:10">
      <c r="A813">
        <v>313692</v>
      </c>
      <c r="B813" t="s">
        <v>827</v>
      </c>
      <c r="C813" t="s">
        <v>828</v>
      </c>
      <c r="D813" t="s">
        <v>70</v>
      </c>
      <c r="E813" t="s">
        <v>13</v>
      </c>
      <c r="F813">
        <v>10.644411310000001</v>
      </c>
      <c r="G813">
        <v>76.236652379999995</v>
      </c>
      <c r="H813">
        <v>4</v>
      </c>
      <c r="I813" t="s">
        <v>14</v>
      </c>
      <c r="J813" t="s">
        <v>174</v>
      </c>
    </row>
    <row r="814" spans="1:10">
      <c r="A814">
        <v>313690</v>
      </c>
      <c r="B814" t="s">
        <v>829</v>
      </c>
      <c r="C814" t="s">
        <v>192</v>
      </c>
      <c r="D814" t="s">
        <v>70</v>
      </c>
      <c r="E814" t="s">
        <v>13</v>
      </c>
      <c r="F814">
        <v>10.616626589999999</v>
      </c>
      <c r="G814">
        <v>76.125783920000003</v>
      </c>
      <c r="H814">
        <v>3</v>
      </c>
      <c r="I814" t="s">
        <v>14</v>
      </c>
      <c r="J814" t="s">
        <v>174</v>
      </c>
    </row>
    <row r="815" spans="1:10">
      <c r="A815">
        <v>313688</v>
      </c>
      <c r="B815" t="s">
        <v>830</v>
      </c>
      <c r="C815" t="s">
        <v>831</v>
      </c>
      <c r="D815" t="s">
        <v>70</v>
      </c>
      <c r="E815" t="s">
        <v>13</v>
      </c>
      <c r="F815">
        <v>10.605823669999999</v>
      </c>
      <c r="G815">
        <v>76.211787630000003</v>
      </c>
      <c r="H815">
        <v>1</v>
      </c>
      <c r="I815" t="s">
        <v>14</v>
      </c>
      <c r="J815" t="s">
        <v>174</v>
      </c>
    </row>
    <row r="816" spans="1:10">
      <c r="A816">
        <v>313683</v>
      </c>
      <c r="B816" t="s">
        <v>832</v>
      </c>
      <c r="C816" t="s">
        <v>169</v>
      </c>
      <c r="D816" t="s">
        <v>70</v>
      </c>
      <c r="E816" t="s">
        <v>13</v>
      </c>
      <c r="F816">
        <v>10.54056179</v>
      </c>
      <c r="G816">
        <v>76.215686779999999</v>
      </c>
      <c r="H816">
        <v>2</v>
      </c>
      <c r="I816" t="s">
        <v>14</v>
      </c>
      <c r="J816" t="s">
        <v>174</v>
      </c>
    </row>
    <row r="817" spans="1:10">
      <c r="A817">
        <v>313682</v>
      </c>
      <c r="B817" t="s">
        <v>833</v>
      </c>
      <c r="C817" t="s">
        <v>169</v>
      </c>
      <c r="D817" t="s">
        <v>70</v>
      </c>
      <c r="E817" t="s">
        <v>13</v>
      </c>
      <c r="F817">
        <v>10.52779471</v>
      </c>
      <c r="G817">
        <v>76.205343850000006</v>
      </c>
      <c r="H817">
        <v>6</v>
      </c>
      <c r="I817" t="s">
        <v>14</v>
      </c>
      <c r="J817" t="s">
        <v>174</v>
      </c>
    </row>
    <row r="818" spans="1:10">
      <c r="A818">
        <v>313681</v>
      </c>
      <c r="B818" t="s">
        <v>834</v>
      </c>
      <c r="C818" t="s">
        <v>169</v>
      </c>
      <c r="D818" t="s">
        <v>70</v>
      </c>
      <c r="E818" t="s">
        <v>13</v>
      </c>
      <c r="F818">
        <v>10.521332299999999</v>
      </c>
      <c r="G818">
        <v>76.230756850000006</v>
      </c>
      <c r="H818">
        <v>2</v>
      </c>
      <c r="I818" t="s">
        <v>14</v>
      </c>
      <c r="J818" t="s">
        <v>174</v>
      </c>
    </row>
    <row r="819" spans="1:10">
      <c r="A819">
        <v>313679</v>
      </c>
      <c r="B819" t="s">
        <v>835</v>
      </c>
      <c r="C819" t="s">
        <v>169</v>
      </c>
      <c r="D819" t="s">
        <v>70</v>
      </c>
      <c r="E819" t="s">
        <v>13</v>
      </c>
      <c r="F819">
        <v>10.522036160000001</v>
      </c>
      <c r="G819">
        <v>76.227568899999994</v>
      </c>
      <c r="H819">
        <v>1</v>
      </c>
      <c r="I819" t="s">
        <v>14</v>
      </c>
      <c r="J819" t="s">
        <v>174</v>
      </c>
    </row>
    <row r="820" spans="1:10">
      <c r="A820">
        <v>313678</v>
      </c>
      <c r="B820" t="s">
        <v>836</v>
      </c>
      <c r="C820" t="s">
        <v>837</v>
      </c>
      <c r="D820" t="s">
        <v>70</v>
      </c>
      <c r="E820" t="s">
        <v>13</v>
      </c>
      <c r="F820">
        <v>10.51150301</v>
      </c>
      <c r="G820">
        <v>76.221124259999996</v>
      </c>
      <c r="H820">
        <v>1</v>
      </c>
      <c r="I820" t="s">
        <v>41</v>
      </c>
      <c r="J820" t="s">
        <v>174</v>
      </c>
    </row>
    <row r="821" spans="1:10">
      <c r="A821">
        <v>313677</v>
      </c>
      <c r="B821" t="s">
        <v>838</v>
      </c>
      <c r="C821" t="s">
        <v>169</v>
      </c>
      <c r="D821" t="s">
        <v>70</v>
      </c>
      <c r="E821" t="s">
        <v>13</v>
      </c>
      <c r="F821">
        <v>10.50445167</v>
      </c>
      <c r="G821">
        <v>76.225341470000004</v>
      </c>
      <c r="H821">
        <v>4</v>
      </c>
      <c r="I821" t="s">
        <v>14</v>
      </c>
      <c r="J821" t="s">
        <v>174</v>
      </c>
    </row>
    <row r="822" spans="1:10">
      <c r="A822">
        <v>313676</v>
      </c>
      <c r="B822" t="s">
        <v>839</v>
      </c>
      <c r="C822" t="s">
        <v>840</v>
      </c>
      <c r="D822" t="s">
        <v>70</v>
      </c>
      <c r="E822" t="s">
        <v>13</v>
      </c>
      <c r="F822">
        <v>10.49768853</v>
      </c>
      <c r="G822">
        <v>76.064642259999999</v>
      </c>
      <c r="H822">
        <v>1</v>
      </c>
      <c r="I822" t="s">
        <v>14</v>
      </c>
      <c r="J822" t="s">
        <v>174</v>
      </c>
    </row>
    <row r="823" spans="1:10">
      <c r="A823">
        <v>313675</v>
      </c>
      <c r="B823" t="s">
        <v>841</v>
      </c>
      <c r="C823" t="s">
        <v>842</v>
      </c>
      <c r="D823" t="s">
        <v>70</v>
      </c>
      <c r="E823" t="s">
        <v>13</v>
      </c>
      <c r="F823">
        <v>10.43156926</v>
      </c>
      <c r="G823">
        <v>76.142559509999998</v>
      </c>
      <c r="H823">
        <v>2</v>
      </c>
      <c r="I823" t="s">
        <v>14</v>
      </c>
      <c r="J823" t="s">
        <v>174</v>
      </c>
    </row>
    <row r="824" spans="1:10">
      <c r="A824">
        <v>313673</v>
      </c>
      <c r="B824" t="s">
        <v>843</v>
      </c>
      <c r="C824" t="s">
        <v>844</v>
      </c>
      <c r="D824" t="s">
        <v>70</v>
      </c>
      <c r="E824" t="s">
        <v>13</v>
      </c>
      <c r="F824">
        <v>10.40173221</v>
      </c>
      <c r="G824">
        <v>76.119335120000002</v>
      </c>
      <c r="H824">
        <v>6</v>
      </c>
      <c r="I824" t="s">
        <v>14</v>
      </c>
      <c r="J824" t="s">
        <v>174</v>
      </c>
    </row>
    <row r="825" spans="1:10">
      <c r="A825">
        <v>313672</v>
      </c>
      <c r="B825" t="s">
        <v>845</v>
      </c>
      <c r="C825" t="s">
        <v>846</v>
      </c>
      <c r="D825" t="s">
        <v>70</v>
      </c>
      <c r="E825" t="s">
        <v>13</v>
      </c>
      <c r="F825">
        <v>10.40243778</v>
      </c>
      <c r="G825">
        <v>76.112633079999995</v>
      </c>
      <c r="H825">
        <v>2</v>
      </c>
      <c r="I825" t="s">
        <v>14</v>
      </c>
      <c r="J825" t="s">
        <v>174</v>
      </c>
    </row>
    <row r="826" spans="1:10">
      <c r="A826">
        <v>313671</v>
      </c>
      <c r="B826" t="s">
        <v>818</v>
      </c>
      <c r="C826" t="s">
        <v>847</v>
      </c>
      <c r="D826" t="s">
        <v>70</v>
      </c>
      <c r="E826" t="s">
        <v>13</v>
      </c>
      <c r="F826">
        <v>10.408609</v>
      </c>
      <c r="G826">
        <v>76.214025599999999</v>
      </c>
      <c r="H826">
        <v>2</v>
      </c>
      <c r="I826" t="s">
        <v>14</v>
      </c>
      <c r="J826" t="s">
        <v>174</v>
      </c>
    </row>
    <row r="827" spans="1:10">
      <c r="A827">
        <v>313670</v>
      </c>
      <c r="B827" t="s">
        <v>848</v>
      </c>
      <c r="C827" t="s">
        <v>849</v>
      </c>
      <c r="D827" t="s">
        <v>70</v>
      </c>
      <c r="E827" t="s">
        <v>13</v>
      </c>
      <c r="F827">
        <v>10.3314231</v>
      </c>
      <c r="G827">
        <v>76.21526077</v>
      </c>
      <c r="H827">
        <v>1</v>
      </c>
      <c r="I827" t="s">
        <v>14</v>
      </c>
      <c r="J827" t="s">
        <v>174</v>
      </c>
    </row>
    <row r="828" spans="1:10">
      <c r="A828">
        <v>313669</v>
      </c>
      <c r="B828" t="s">
        <v>850</v>
      </c>
      <c r="C828" t="s">
        <v>851</v>
      </c>
      <c r="D828" t="s">
        <v>70</v>
      </c>
      <c r="E828" t="s">
        <v>13</v>
      </c>
      <c r="F828">
        <v>10.59340334</v>
      </c>
      <c r="G828">
        <v>76.583525199999997</v>
      </c>
      <c r="H828">
        <v>1</v>
      </c>
      <c r="I828" t="s">
        <v>14</v>
      </c>
      <c r="J828" t="s">
        <v>174</v>
      </c>
    </row>
    <row r="829" spans="1:10">
      <c r="A829">
        <v>313667</v>
      </c>
      <c r="B829" t="s">
        <v>852</v>
      </c>
      <c r="C829" t="s">
        <v>276</v>
      </c>
      <c r="D829" t="s">
        <v>70</v>
      </c>
      <c r="E829" t="s">
        <v>13</v>
      </c>
      <c r="F829">
        <v>10.597238170000001</v>
      </c>
      <c r="G829">
        <v>76.479849369999997</v>
      </c>
      <c r="H829">
        <v>6</v>
      </c>
      <c r="I829" t="s">
        <v>14</v>
      </c>
      <c r="J829" t="s">
        <v>174</v>
      </c>
    </row>
    <row r="830" spans="1:10">
      <c r="A830">
        <v>313665</v>
      </c>
      <c r="B830" t="s">
        <v>811</v>
      </c>
      <c r="C830" t="s">
        <v>680</v>
      </c>
      <c r="D830" t="s">
        <v>70</v>
      </c>
      <c r="E830" t="s">
        <v>13</v>
      </c>
      <c r="F830">
        <v>10.59195731</v>
      </c>
      <c r="G830">
        <v>76.465711769999999</v>
      </c>
      <c r="H830">
        <v>2</v>
      </c>
      <c r="I830" t="s">
        <v>425</v>
      </c>
      <c r="J830" t="s">
        <v>174</v>
      </c>
    </row>
    <row r="831" spans="1:10">
      <c r="A831">
        <v>313662</v>
      </c>
      <c r="B831" t="s">
        <v>853</v>
      </c>
      <c r="C831" t="s">
        <v>854</v>
      </c>
      <c r="D831" t="s">
        <v>70</v>
      </c>
      <c r="E831" t="s">
        <v>13</v>
      </c>
      <c r="F831">
        <v>10.476826920000001</v>
      </c>
      <c r="G831">
        <v>76.257581849999994</v>
      </c>
      <c r="H831">
        <v>3</v>
      </c>
      <c r="I831" t="s">
        <v>14</v>
      </c>
      <c r="J831" t="s">
        <v>174</v>
      </c>
    </row>
    <row r="832" spans="1:10">
      <c r="A832">
        <v>313661</v>
      </c>
      <c r="B832" t="s">
        <v>855</v>
      </c>
      <c r="C832" t="s">
        <v>489</v>
      </c>
      <c r="D832" t="s">
        <v>70</v>
      </c>
      <c r="E832" t="s">
        <v>13</v>
      </c>
      <c r="F832">
        <v>10.43389238</v>
      </c>
      <c r="G832">
        <v>76.265148719999999</v>
      </c>
      <c r="H832">
        <v>2</v>
      </c>
      <c r="I832" t="s">
        <v>14</v>
      </c>
      <c r="J832" t="s">
        <v>174</v>
      </c>
    </row>
    <row r="833" spans="1:10">
      <c r="A833">
        <v>313659</v>
      </c>
      <c r="B833" t="s">
        <v>856</v>
      </c>
      <c r="C833" t="s">
        <v>857</v>
      </c>
      <c r="D833" t="s">
        <v>70</v>
      </c>
      <c r="E833" t="s">
        <v>13</v>
      </c>
      <c r="F833">
        <v>10.38066087</v>
      </c>
      <c r="G833">
        <v>76.297686179999999</v>
      </c>
      <c r="H833">
        <v>2</v>
      </c>
      <c r="I833" t="s">
        <v>14</v>
      </c>
      <c r="J833" t="s">
        <v>174</v>
      </c>
    </row>
    <row r="834" spans="1:10">
      <c r="A834">
        <v>313658</v>
      </c>
      <c r="B834" t="s">
        <v>858</v>
      </c>
      <c r="C834" t="s">
        <v>169</v>
      </c>
      <c r="D834" t="s">
        <v>70</v>
      </c>
      <c r="E834" t="s">
        <v>13</v>
      </c>
      <c r="F834">
        <v>10.367048479999999</v>
      </c>
      <c r="G834">
        <v>76.31535658</v>
      </c>
      <c r="H834">
        <v>1</v>
      </c>
      <c r="I834" t="s">
        <v>14</v>
      </c>
      <c r="J834" t="s">
        <v>174</v>
      </c>
    </row>
    <row r="835" spans="1:10">
      <c r="A835">
        <v>313656</v>
      </c>
      <c r="B835" t="s">
        <v>804</v>
      </c>
      <c r="C835" t="s">
        <v>859</v>
      </c>
      <c r="D835" t="s">
        <v>70</v>
      </c>
      <c r="E835" t="s">
        <v>13</v>
      </c>
      <c r="F835">
        <v>10.339608930000001</v>
      </c>
      <c r="G835">
        <v>76.321746309999995</v>
      </c>
      <c r="H835">
        <v>2</v>
      </c>
      <c r="I835" t="s">
        <v>14</v>
      </c>
      <c r="J835" t="s">
        <v>174</v>
      </c>
    </row>
    <row r="836" spans="1:10">
      <c r="A836">
        <v>313655</v>
      </c>
      <c r="B836" t="s">
        <v>860</v>
      </c>
      <c r="C836" t="s">
        <v>859</v>
      </c>
      <c r="D836" t="s">
        <v>70</v>
      </c>
      <c r="E836" t="s">
        <v>13</v>
      </c>
      <c r="F836">
        <v>10.30310177</v>
      </c>
      <c r="G836">
        <v>76.337042240000002</v>
      </c>
      <c r="H836">
        <v>1</v>
      </c>
      <c r="I836" t="s">
        <v>14</v>
      </c>
      <c r="J836" t="s">
        <v>174</v>
      </c>
    </row>
    <row r="837" spans="1:10">
      <c r="A837">
        <v>313654</v>
      </c>
      <c r="B837" t="s">
        <v>861</v>
      </c>
      <c r="C837" t="s">
        <v>862</v>
      </c>
      <c r="D837" t="s">
        <v>70</v>
      </c>
      <c r="E837" t="s">
        <v>13</v>
      </c>
      <c r="F837">
        <v>10.289343300000001</v>
      </c>
      <c r="G837">
        <v>76.337068200000004</v>
      </c>
      <c r="H837">
        <v>1</v>
      </c>
      <c r="I837" t="s">
        <v>14</v>
      </c>
      <c r="J837" t="s">
        <v>174</v>
      </c>
    </row>
    <row r="838" spans="1:10">
      <c r="A838">
        <v>313653</v>
      </c>
      <c r="B838" t="s">
        <v>863</v>
      </c>
      <c r="C838" t="s">
        <v>862</v>
      </c>
      <c r="D838" t="s">
        <v>70</v>
      </c>
      <c r="E838" t="s">
        <v>13</v>
      </c>
      <c r="F838">
        <v>10.28557423</v>
      </c>
      <c r="G838">
        <v>76.342377650000003</v>
      </c>
      <c r="H838">
        <v>1</v>
      </c>
      <c r="I838" t="s">
        <v>14</v>
      </c>
      <c r="J838" t="s">
        <v>174</v>
      </c>
    </row>
    <row r="839" spans="1:10">
      <c r="A839">
        <v>313650</v>
      </c>
      <c r="B839" t="s">
        <v>864</v>
      </c>
      <c r="C839" t="s">
        <v>865</v>
      </c>
      <c r="D839" t="s">
        <v>70</v>
      </c>
      <c r="E839" t="s">
        <v>13</v>
      </c>
      <c r="F839">
        <v>10.286039649999999</v>
      </c>
      <c r="G839">
        <v>76.558515580000005</v>
      </c>
      <c r="H839">
        <v>2</v>
      </c>
      <c r="I839" t="s">
        <v>14</v>
      </c>
      <c r="J839" t="s">
        <v>174</v>
      </c>
    </row>
    <row r="840" spans="1:10">
      <c r="A840">
        <v>313649</v>
      </c>
      <c r="B840" t="s">
        <v>866</v>
      </c>
      <c r="C840" t="s">
        <v>483</v>
      </c>
      <c r="D840" t="s">
        <v>70</v>
      </c>
      <c r="E840" t="s">
        <v>13</v>
      </c>
      <c r="F840">
        <v>10.21406148</v>
      </c>
      <c r="G840">
        <v>76.379367290000005</v>
      </c>
      <c r="H840">
        <v>1</v>
      </c>
      <c r="I840" t="s">
        <v>14</v>
      </c>
      <c r="J840" t="s">
        <v>174</v>
      </c>
    </row>
    <row r="841" spans="1:10">
      <c r="A841">
        <v>313648</v>
      </c>
      <c r="B841" t="s">
        <v>867</v>
      </c>
      <c r="C841" t="s">
        <v>483</v>
      </c>
      <c r="D841" t="s">
        <v>70</v>
      </c>
      <c r="E841" t="s">
        <v>13</v>
      </c>
      <c r="F841">
        <v>10.197144120000001</v>
      </c>
      <c r="G841">
        <v>76.384109589999994</v>
      </c>
      <c r="H841">
        <v>2</v>
      </c>
      <c r="I841" t="s">
        <v>14</v>
      </c>
      <c r="J841" t="s">
        <v>174</v>
      </c>
    </row>
    <row r="842" spans="1:10">
      <c r="A842">
        <v>313647</v>
      </c>
      <c r="B842" t="s">
        <v>868</v>
      </c>
      <c r="C842" t="s">
        <v>483</v>
      </c>
      <c r="D842" t="s">
        <v>70</v>
      </c>
      <c r="E842" t="s">
        <v>13</v>
      </c>
      <c r="F842">
        <v>10.189753400000001</v>
      </c>
      <c r="G842">
        <v>76.386642269999996</v>
      </c>
      <c r="H842">
        <v>2</v>
      </c>
      <c r="I842" t="s">
        <v>14</v>
      </c>
      <c r="J842" t="s">
        <v>174</v>
      </c>
    </row>
    <row r="843" spans="1:10">
      <c r="A843">
        <v>313646</v>
      </c>
      <c r="B843" t="s">
        <v>869</v>
      </c>
      <c r="C843" t="s">
        <v>478</v>
      </c>
      <c r="D843" t="s">
        <v>70</v>
      </c>
      <c r="E843" t="s">
        <v>13</v>
      </c>
      <c r="F843">
        <v>10.1695516</v>
      </c>
      <c r="G843">
        <v>76.372255609999996</v>
      </c>
      <c r="H843">
        <v>6</v>
      </c>
      <c r="I843" t="s">
        <v>14</v>
      </c>
      <c r="J843" t="s">
        <v>174</v>
      </c>
    </row>
    <row r="844" spans="1:10">
      <c r="A844">
        <v>313645</v>
      </c>
      <c r="B844" t="s">
        <v>870</v>
      </c>
      <c r="C844" t="s">
        <v>478</v>
      </c>
      <c r="D844" t="s">
        <v>70</v>
      </c>
      <c r="E844" t="s">
        <v>13</v>
      </c>
      <c r="F844">
        <v>10.15658638</v>
      </c>
      <c r="G844">
        <v>76.391931560000003</v>
      </c>
      <c r="H844">
        <v>4</v>
      </c>
      <c r="I844" t="s">
        <v>14</v>
      </c>
      <c r="J844" t="s">
        <v>174</v>
      </c>
    </row>
    <row r="845" spans="1:10">
      <c r="A845">
        <v>313644</v>
      </c>
      <c r="B845" t="s">
        <v>871</v>
      </c>
      <c r="C845" t="s">
        <v>478</v>
      </c>
      <c r="D845" t="s">
        <v>70</v>
      </c>
      <c r="E845" t="s">
        <v>13</v>
      </c>
      <c r="F845">
        <v>10.15686756</v>
      </c>
      <c r="G845">
        <v>76.388979899999995</v>
      </c>
      <c r="H845">
        <v>4</v>
      </c>
      <c r="I845" t="s">
        <v>14</v>
      </c>
      <c r="J845" t="s">
        <v>174</v>
      </c>
    </row>
    <row r="846" spans="1:10">
      <c r="A846">
        <v>313643</v>
      </c>
      <c r="B846" t="s">
        <v>872</v>
      </c>
      <c r="C846" t="s">
        <v>478</v>
      </c>
      <c r="D846" t="s">
        <v>70</v>
      </c>
      <c r="E846" t="s">
        <v>13</v>
      </c>
      <c r="F846">
        <v>10.159914479999999</v>
      </c>
      <c r="G846">
        <v>76.389158269999996</v>
      </c>
      <c r="H846">
        <v>1</v>
      </c>
      <c r="I846" t="s">
        <v>14</v>
      </c>
      <c r="J846" t="s">
        <v>174</v>
      </c>
    </row>
    <row r="847" spans="1:10">
      <c r="A847">
        <v>313642</v>
      </c>
      <c r="B847" t="s">
        <v>873</v>
      </c>
      <c r="C847" t="s">
        <v>478</v>
      </c>
      <c r="D847" t="s">
        <v>70</v>
      </c>
      <c r="E847" t="s">
        <v>13</v>
      </c>
      <c r="F847">
        <v>10.161062060000001</v>
      </c>
      <c r="G847">
        <v>76.38563078</v>
      </c>
      <c r="H847">
        <v>1</v>
      </c>
      <c r="I847" t="s">
        <v>14</v>
      </c>
      <c r="J847" t="s">
        <v>174</v>
      </c>
    </row>
    <row r="848" spans="1:10">
      <c r="A848">
        <v>313641</v>
      </c>
      <c r="B848" t="s">
        <v>874</v>
      </c>
      <c r="C848" t="s">
        <v>478</v>
      </c>
      <c r="D848" t="s">
        <v>70</v>
      </c>
      <c r="E848" t="s">
        <v>13</v>
      </c>
      <c r="F848">
        <v>10.15929513</v>
      </c>
      <c r="G848">
        <v>76.378522880000006</v>
      </c>
      <c r="H848">
        <v>1</v>
      </c>
      <c r="I848" t="s">
        <v>41</v>
      </c>
      <c r="J848" t="s">
        <v>174</v>
      </c>
    </row>
    <row r="849" spans="1:10">
      <c r="A849">
        <v>313640</v>
      </c>
      <c r="B849" t="s">
        <v>875</v>
      </c>
      <c r="C849" t="s">
        <v>876</v>
      </c>
      <c r="D849" t="s">
        <v>70</v>
      </c>
      <c r="E849" t="s">
        <v>13</v>
      </c>
      <c r="F849">
        <v>10.14563298</v>
      </c>
      <c r="G849">
        <v>76.256903809999997</v>
      </c>
      <c r="H849">
        <v>5</v>
      </c>
      <c r="I849" t="s">
        <v>14</v>
      </c>
      <c r="J849" t="s">
        <v>174</v>
      </c>
    </row>
    <row r="850" spans="1:10">
      <c r="A850">
        <v>313639</v>
      </c>
      <c r="B850" t="s">
        <v>877</v>
      </c>
      <c r="C850" t="s">
        <v>878</v>
      </c>
      <c r="D850" t="s">
        <v>70</v>
      </c>
      <c r="E850" t="s">
        <v>13</v>
      </c>
      <c r="F850">
        <v>10.154913049999999</v>
      </c>
      <c r="G850">
        <v>76.286014449999996</v>
      </c>
      <c r="H850">
        <v>2</v>
      </c>
      <c r="I850" t="s">
        <v>14</v>
      </c>
      <c r="J850" t="s">
        <v>174</v>
      </c>
    </row>
    <row r="851" spans="1:10">
      <c r="A851">
        <v>313638</v>
      </c>
      <c r="B851" t="s">
        <v>879</v>
      </c>
      <c r="C851" t="s">
        <v>476</v>
      </c>
      <c r="D851" t="s">
        <v>70</v>
      </c>
      <c r="E851" t="s">
        <v>13</v>
      </c>
      <c r="F851">
        <v>10.081559650000001</v>
      </c>
      <c r="G851">
        <v>76.339867420000004</v>
      </c>
      <c r="H851">
        <v>1</v>
      </c>
      <c r="I851" t="s">
        <v>14</v>
      </c>
      <c r="J851" t="s">
        <v>174</v>
      </c>
    </row>
    <row r="852" spans="1:10">
      <c r="A852">
        <v>313637</v>
      </c>
      <c r="B852" t="s">
        <v>880</v>
      </c>
      <c r="C852" t="s">
        <v>183</v>
      </c>
      <c r="D852" t="s">
        <v>70</v>
      </c>
      <c r="E852" t="s">
        <v>13</v>
      </c>
      <c r="F852">
        <v>10.077284479999999</v>
      </c>
      <c r="G852">
        <v>76.337641230000003</v>
      </c>
      <c r="H852">
        <v>2</v>
      </c>
      <c r="I852" t="s">
        <v>14</v>
      </c>
      <c r="J852" t="s">
        <v>174</v>
      </c>
    </row>
    <row r="853" spans="1:10">
      <c r="A853">
        <v>313636</v>
      </c>
      <c r="B853" t="s">
        <v>881</v>
      </c>
      <c r="C853" t="s">
        <v>882</v>
      </c>
      <c r="D853" t="s">
        <v>70</v>
      </c>
      <c r="E853" t="s">
        <v>13</v>
      </c>
      <c r="F853">
        <v>10.040433869999999</v>
      </c>
      <c r="G853">
        <v>76.338524070000005</v>
      </c>
      <c r="H853">
        <v>1</v>
      </c>
      <c r="I853" t="s">
        <v>14</v>
      </c>
      <c r="J853" t="s">
        <v>174</v>
      </c>
    </row>
    <row r="854" spans="1:10">
      <c r="A854">
        <v>313635</v>
      </c>
      <c r="B854" t="s">
        <v>883</v>
      </c>
      <c r="C854" t="s">
        <v>882</v>
      </c>
      <c r="D854" t="s">
        <v>70</v>
      </c>
      <c r="E854" t="s">
        <v>13</v>
      </c>
      <c r="F854">
        <v>10.053770030000001</v>
      </c>
      <c r="G854">
        <v>76.33086763</v>
      </c>
      <c r="H854">
        <v>6</v>
      </c>
      <c r="I854" t="s">
        <v>14</v>
      </c>
      <c r="J854" t="s">
        <v>174</v>
      </c>
    </row>
    <row r="855" spans="1:10">
      <c r="A855">
        <v>313634</v>
      </c>
      <c r="B855" t="s">
        <v>884</v>
      </c>
      <c r="C855" t="s">
        <v>882</v>
      </c>
      <c r="D855" t="s">
        <v>70</v>
      </c>
      <c r="E855" t="s">
        <v>13</v>
      </c>
      <c r="F855">
        <v>10.05245925</v>
      </c>
      <c r="G855">
        <v>76.314656299999996</v>
      </c>
      <c r="H855">
        <v>3</v>
      </c>
      <c r="I855" t="s">
        <v>14</v>
      </c>
      <c r="J855" t="s">
        <v>174</v>
      </c>
    </row>
    <row r="856" spans="1:10">
      <c r="A856">
        <v>313633</v>
      </c>
      <c r="B856" t="s">
        <v>885</v>
      </c>
      <c r="C856" t="s">
        <v>473</v>
      </c>
      <c r="D856" t="s">
        <v>711</v>
      </c>
      <c r="E856" t="s">
        <v>13</v>
      </c>
      <c r="F856">
        <v>10.027760860000001</v>
      </c>
      <c r="G856">
        <v>76.311174440000002</v>
      </c>
      <c r="H856">
        <v>2</v>
      </c>
      <c r="I856" t="s">
        <v>14</v>
      </c>
      <c r="J856" t="s">
        <v>174</v>
      </c>
    </row>
    <row r="857" spans="1:10">
      <c r="A857">
        <v>313632</v>
      </c>
      <c r="B857" t="s">
        <v>886</v>
      </c>
      <c r="C857" t="s">
        <v>887</v>
      </c>
      <c r="D857" t="s">
        <v>70</v>
      </c>
      <c r="E857" t="s">
        <v>13</v>
      </c>
      <c r="F857">
        <v>10.000241040000001</v>
      </c>
      <c r="G857">
        <v>76.298429819999996</v>
      </c>
      <c r="H857">
        <v>6</v>
      </c>
      <c r="I857" t="s">
        <v>14</v>
      </c>
      <c r="J857" t="s">
        <v>174</v>
      </c>
    </row>
    <row r="858" spans="1:10">
      <c r="A858">
        <v>313631</v>
      </c>
      <c r="B858" t="s">
        <v>888</v>
      </c>
      <c r="C858" t="s">
        <v>183</v>
      </c>
      <c r="D858" t="s">
        <v>70</v>
      </c>
      <c r="E858" t="s">
        <v>13</v>
      </c>
      <c r="F858">
        <v>9.9741925299999998</v>
      </c>
      <c r="G858">
        <v>76.293681699999993</v>
      </c>
      <c r="H858">
        <v>6</v>
      </c>
      <c r="I858" t="s">
        <v>14</v>
      </c>
      <c r="J858" t="s">
        <v>174</v>
      </c>
    </row>
    <row r="859" spans="1:10">
      <c r="A859">
        <v>313630</v>
      </c>
      <c r="B859" t="s">
        <v>889</v>
      </c>
      <c r="C859" t="s">
        <v>890</v>
      </c>
      <c r="D859" t="s">
        <v>70</v>
      </c>
      <c r="E859" t="s">
        <v>13</v>
      </c>
      <c r="F859">
        <v>9.9850051779999998</v>
      </c>
      <c r="G859">
        <v>76.316065429999995</v>
      </c>
      <c r="H859">
        <v>1</v>
      </c>
      <c r="I859" t="s">
        <v>14</v>
      </c>
      <c r="J859" t="s">
        <v>174</v>
      </c>
    </row>
    <row r="860" spans="1:10">
      <c r="A860">
        <v>313629</v>
      </c>
      <c r="B860" t="s">
        <v>891</v>
      </c>
      <c r="C860" t="s">
        <v>288</v>
      </c>
      <c r="D860" t="s">
        <v>70</v>
      </c>
      <c r="E860" t="s">
        <v>13</v>
      </c>
      <c r="F860">
        <v>9.9716848040000006</v>
      </c>
      <c r="G860">
        <v>76.324159629999997</v>
      </c>
      <c r="H860">
        <v>1</v>
      </c>
      <c r="I860" t="s">
        <v>14</v>
      </c>
      <c r="J860" t="s">
        <v>174</v>
      </c>
    </row>
    <row r="861" spans="1:10">
      <c r="A861">
        <v>313628</v>
      </c>
      <c r="B861" t="s">
        <v>892</v>
      </c>
      <c r="C861" t="s">
        <v>288</v>
      </c>
      <c r="D861" t="s">
        <v>70</v>
      </c>
      <c r="E861" t="s">
        <v>13</v>
      </c>
      <c r="F861">
        <v>9.9626677630000007</v>
      </c>
      <c r="G861">
        <v>76.318213540000002</v>
      </c>
      <c r="H861">
        <v>2</v>
      </c>
      <c r="I861" t="s">
        <v>14</v>
      </c>
      <c r="J861" t="s">
        <v>174</v>
      </c>
    </row>
    <row r="862" spans="1:10">
      <c r="A862">
        <v>313627</v>
      </c>
      <c r="B862" t="s">
        <v>893</v>
      </c>
      <c r="C862" t="s">
        <v>288</v>
      </c>
      <c r="D862" t="s">
        <v>711</v>
      </c>
      <c r="E862" t="s">
        <v>13</v>
      </c>
      <c r="F862">
        <v>9.9629019630000002</v>
      </c>
      <c r="G862">
        <v>76.319220709999996</v>
      </c>
      <c r="H862">
        <v>6</v>
      </c>
      <c r="I862" t="s">
        <v>14</v>
      </c>
      <c r="J862" t="s">
        <v>174</v>
      </c>
    </row>
    <row r="863" spans="1:10">
      <c r="A863">
        <v>313626</v>
      </c>
      <c r="B863" t="s">
        <v>894</v>
      </c>
      <c r="C863" t="s">
        <v>627</v>
      </c>
      <c r="D863" t="s">
        <v>70</v>
      </c>
      <c r="E863" t="s">
        <v>13</v>
      </c>
      <c r="F863">
        <v>9.9481349859999995</v>
      </c>
      <c r="G863">
        <v>76.318501760000004</v>
      </c>
      <c r="H863">
        <v>2</v>
      </c>
      <c r="I863" t="s">
        <v>14</v>
      </c>
      <c r="J863" t="s">
        <v>174</v>
      </c>
    </row>
    <row r="864" spans="1:10">
      <c r="A864">
        <v>313625</v>
      </c>
      <c r="B864" t="s">
        <v>895</v>
      </c>
      <c r="C864" t="s">
        <v>627</v>
      </c>
      <c r="D864" t="s">
        <v>70</v>
      </c>
      <c r="E864" t="s">
        <v>13</v>
      </c>
      <c r="F864">
        <v>9.9401551010000002</v>
      </c>
      <c r="G864">
        <v>76.318418410000007</v>
      </c>
      <c r="H864">
        <v>2</v>
      </c>
      <c r="I864" t="s">
        <v>14</v>
      </c>
      <c r="J864" t="s">
        <v>174</v>
      </c>
    </row>
    <row r="865" spans="1:10">
      <c r="A865">
        <v>313624</v>
      </c>
      <c r="B865" t="s">
        <v>896</v>
      </c>
      <c r="C865" t="s">
        <v>627</v>
      </c>
      <c r="D865" t="s">
        <v>70</v>
      </c>
      <c r="E865" t="s">
        <v>13</v>
      </c>
      <c r="F865">
        <v>9.9422252130000004</v>
      </c>
      <c r="G865">
        <v>76.333885100000003</v>
      </c>
      <c r="H865">
        <v>2</v>
      </c>
      <c r="I865" t="s">
        <v>14</v>
      </c>
      <c r="J865" t="s">
        <v>174</v>
      </c>
    </row>
    <row r="866" spans="1:10">
      <c r="A866">
        <v>313623</v>
      </c>
      <c r="B866" t="s">
        <v>897</v>
      </c>
      <c r="C866" t="s">
        <v>92</v>
      </c>
      <c r="D866" t="s">
        <v>70</v>
      </c>
      <c r="E866" t="s">
        <v>13</v>
      </c>
      <c r="F866">
        <v>10.08803183</v>
      </c>
      <c r="G866">
        <v>76.389042209999999</v>
      </c>
      <c r="H866">
        <v>4</v>
      </c>
      <c r="I866" t="s">
        <v>14</v>
      </c>
      <c r="J866" t="s">
        <v>174</v>
      </c>
    </row>
    <row r="867" spans="1:10">
      <c r="A867">
        <v>313622</v>
      </c>
      <c r="B867" t="s">
        <v>898</v>
      </c>
      <c r="C867" t="s">
        <v>899</v>
      </c>
      <c r="D867" t="s">
        <v>70</v>
      </c>
      <c r="E867" t="s">
        <v>13</v>
      </c>
      <c r="F867">
        <v>9.9325463420000002</v>
      </c>
      <c r="G867">
        <v>76.38829398</v>
      </c>
      <c r="H867">
        <v>1</v>
      </c>
      <c r="I867" t="s">
        <v>14</v>
      </c>
      <c r="J867" t="s">
        <v>174</v>
      </c>
    </row>
    <row r="868" spans="1:10">
      <c r="A868">
        <v>313621</v>
      </c>
      <c r="B868" t="s">
        <v>900</v>
      </c>
      <c r="C868" t="s">
        <v>899</v>
      </c>
      <c r="D868" t="s">
        <v>70</v>
      </c>
      <c r="E868" t="s">
        <v>13</v>
      </c>
      <c r="F868">
        <v>9.9329876020000007</v>
      </c>
      <c r="G868">
        <v>76.388735729999993</v>
      </c>
      <c r="H868">
        <v>4</v>
      </c>
      <c r="I868" t="s">
        <v>14</v>
      </c>
      <c r="J868" t="s">
        <v>174</v>
      </c>
    </row>
    <row r="869" spans="1:10">
      <c r="A869">
        <v>313620</v>
      </c>
      <c r="B869" t="s">
        <v>901</v>
      </c>
      <c r="C869" t="s">
        <v>636</v>
      </c>
      <c r="D869" t="s">
        <v>70</v>
      </c>
      <c r="E869" t="s">
        <v>13</v>
      </c>
      <c r="F869">
        <v>10.00180181</v>
      </c>
      <c r="G869">
        <v>76.361517989999996</v>
      </c>
      <c r="H869">
        <v>4</v>
      </c>
      <c r="I869" t="s">
        <v>14</v>
      </c>
      <c r="J869" t="s">
        <v>174</v>
      </c>
    </row>
    <row r="870" spans="1:10">
      <c r="A870">
        <v>313619</v>
      </c>
      <c r="B870" t="s">
        <v>902</v>
      </c>
      <c r="C870" t="s">
        <v>903</v>
      </c>
      <c r="D870" t="s">
        <v>70</v>
      </c>
      <c r="E870" t="s">
        <v>13</v>
      </c>
      <c r="F870">
        <v>10.02602207</v>
      </c>
      <c r="G870">
        <v>76.391995969999996</v>
      </c>
      <c r="H870">
        <v>5</v>
      </c>
      <c r="I870" t="s">
        <v>14</v>
      </c>
      <c r="J870" t="s">
        <v>201</v>
      </c>
    </row>
    <row r="871" spans="1:10">
      <c r="A871">
        <v>313618</v>
      </c>
      <c r="B871" t="s">
        <v>904</v>
      </c>
      <c r="C871" t="s">
        <v>284</v>
      </c>
      <c r="D871" t="s">
        <v>70</v>
      </c>
      <c r="E871" t="s">
        <v>13</v>
      </c>
      <c r="F871">
        <v>10.031936930000001</v>
      </c>
      <c r="G871">
        <v>76.407492520000005</v>
      </c>
      <c r="H871">
        <v>2</v>
      </c>
      <c r="I871" t="s">
        <v>14</v>
      </c>
      <c r="J871" t="s">
        <v>174</v>
      </c>
    </row>
    <row r="872" spans="1:10">
      <c r="A872">
        <v>313617</v>
      </c>
      <c r="B872" t="s">
        <v>905</v>
      </c>
      <c r="C872" t="s">
        <v>96</v>
      </c>
      <c r="D872" t="s">
        <v>70</v>
      </c>
      <c r="E872" t="s">
        <v>13</v>
      </c>
      <c r="F872">
        <v>10.130170870000001</v>
      </c>
      <c r="G872">
        <v>76.470720209999996</v>
      </c>
      <c r="H872">
        <v>1</v>
      </c>
      <c r="I872" t="s">
        <v>14</v>
      </c>
      <c r="J872" t="s">
        <v>174</v>
      </c>
    </row>
    <row r="873" spans="1:10">
      <c r="A873">
        <v>313616</v>
      </c>
      <c r="B873" t="s">
        <v>906</v>
      </c>
      <c r="C873" t="s">
        <v>88</v>
      </c>
      <c r="D873" t="s">
        <v>70</v>
      </c>
      <c r="E873" t="s">
        <v>13</v>
      </c>
      <c r="F873">
        <v>10.069470069999999</v>
      </c>
      <c r="G873">
        <v>76.602630070000004</v>
      </c>
      <c r="H873">
        <v>2</v>
      </c>
      <c r="I873" t="s">
        <v>14</v>
      </c>
      <c r="J873" t="s">
        <v>174</v>
      </c>
    </row>
    <row r="874" spans="1:10">
      <c r="A874">
        <v>313615</v>
      </c>
      <c r="B874" t="s">
        <v>907</v>
      </c>
      <c r="C874" t="s">
        <v>88</v>
      </c>
      <c r="D874" t="s">
        <v>70</v>
      </c>
      <c r="E874" t="s">
        <v>13</v>
      </c>
      <c r="F874">
        <v>10.05398054</v>
      </c>
      <c r="G874">
        <v>76.615384199999994</v>
      </c>
      <c r="H874">
        <v>6</v>
      </c>
      <c r="I874" t="s">
        <v>14</v>
      </c>
      <c r="J874" t="s">
        <v>174</v>
      </c>
    </row>
    <row r="875" spans="1:10">
      <c r="A875">
        <v>313614</v>
      </c>
      <c r="B875" t="s">
        <v>908</v>
      </c>
      <c r="C875" t="s">
        <v>909</v>
      </c>
      <c r="D875" t="s">
        <v>70</v>
      </c>
      <c r="E875" t="s">
        <v>13</v>
      </c>
      <c r="F875">
        <v>9.9794685530000002</v>
      </c>
      <c r="G875">
        <v>76.550678129999994</v>
      </c>
      <c r="H875">
        <v>1</v>
      </c>
      <c r="I875" t="s">
        <v>14</v>
      </c>
      <c r="J875" t="s">
        <v>174</v>
      </c>
    </row>
    <row r="876" spans="1:10">
      <c r="A876">
        <v>313613</v>
      </c>
      <c r="B876" t="s">
        <v>910</v>
      </c>
      <c r="C876" t="s">
        <v>911</v>
      </c>
      <c r="D876" t="s">
        <v>70</v>
      </c>
      <c r="E876" t="s">
        <v>13</v>
      </c>
      <c r="F876">
        <v>9.978862994</v>
      </c>
      <c r="G876">
        <v>76.584439950000004</v>
      </c>
      <c r="H876">
        <v>4</v>
      </c>
      <c r="I876" t="s">
        <v>14</v>
      </c>
      <c r="J876" t="s">
        <v>174</v>
      </c>
    </row>
    <row r="877" spans="1:10">
      <c r="A877">
        <v>313612</v>
      </c>
      <c r="B877" t="s">
        <v>912</v>
      </c>
      <c r="C877" t="s">
        <v>911</v>
      </c>
      <c r="D877" t="s">
        <v>70</v>
      </c>
      <c r="E877" t="s">
        <v>13</v>
      </c>
      <c r="F877">
        <v>9.9791182680000006</v>
      </c>
      <c r="G877">
        <v>76.58664023</v>
      </c>
      <c r="H877">
        <v>2</v>
      </c>
      <c r="I877" t="s">
        <v>14</v>
      </c>
      <c r="J877" t="s">
        <v>174</v>
      </c>
    </row>
    <row r="878" spans="1:10">
      <c r="A878">
        <v>313611</v>
      </c>
      <c r="B878" t="s">
        <v>913</v>
      </c>
      <c r="C878" t="s">
        <v>914</v>
      </c>
      <c r="D878" t="s">
        <v>70</v>
      </c>
      <c r="E878" t="s">
        <v>13</v>
      </c>
      <c r="F878">
        <v>9.9461573600000008</v>
      </c>
      <c r="G878">
        <v>76.635631000000004</v>
      </c>
      <c r="H878">
        <v>2</v>
      </c>
      <c r="I878" t="s">
        <v>14</v>
      </c>
      <c r="J878" t="s">
        <v>174</v>
      </c>
    </row>
    <row r="879" spans="1:10">
      <c r="A879">
        <v>313610</v>
      </c>
      <c r="B879" t="s">
        <v>915</v>
      </c>
      <c r="C879" t="s">
        <v>914</v>
      </c>
      <c r="D879" t="s">
        <v>70</v>
      </c>
      <c r="E879" t="s">
        <v>13</v>
      </c>
      <c r="F879">
        <v>9.9173406970000002</v>
      </c>
      <c r="G879">
        <v>76.687581410000007</v>
      </c>
      <c r="H879">
        <v>2</v>
      </c>
      <c r="I879" t="s">
        <v>14</v>
      </c>
      <c r="J879" t="s">
        <v>174</v>
      </c>
    </row>
    <row r="880" spans="1:10">
      <c r="A880">
        <v>313609</v>
      </c>
      <c r="B880" t="s">
        <v>916</v>
      </c>
      <c r="C880" t="s">
        <v>914</v>
      </c>
      <c r="D880" t="s">
        <v>70</v>
      </c>
      <c r="E880" t="s">
        <v>13</v>
      </c>
      <c r="F880">
        <v>9.8921234719999998</v>
      </c>
      <c r="G880">
        <v>76.708530530000004</v>
      </c>
      <c r="H880">
        <v>6</v>
      </c>
      <c r="I880" t="s">
        <v>14</v>
      </c>
      <c r="J880" t="s">
        <v>174</v>
      </c>
    </row>
    <row r="881" spans="1:10">
      <c r="A881">
        <v>313608</v>
      </c>
      <c r="B881" t="s">
        <v>917</v>
      </c>
      <c r="C881" t="s">
        <v>918</v>
      </c>
      <c r="D881" t="s">
        <v>70</v>
      </c>
      <c r="E881" t="s">
        <v>13</v>
      </c>
      <c r="F881">
        <v>9.8631135309999998</v>
      </c>
      <c r="G881">
        <v>76.697090520000003</v>
      </c>
      <c r="H881">
        <v>2</v>
      </c>
      <c r="I881" t="s">
        <v>14</v>
      </c>
      <c r="J881" t="s">
        <v>174</v>
      </c>
    </row>
    <row r="882" spans="1:10">
      <c r="A882">
        <v>313606</v>
      </c>
      <c r="B882" t="s">
        <v>919</v>
      </c>
      <c r="C882" t="s">
        <v>85</v>
      </c>
      <c r="D882" t="s">
        <v>920</v>
      </c>
      <c r="E882" t="s">
        <v>13</v>
      </c>
      <c r="F882">
        <v>9.8565625039999993</v>
      </c>
      <c r="G882">
        <v>76.596569799999997</v>
      </c>
      <c r="H882">
        <v>3</v>
      </c>
      <c r="I882" t="s">
        <v>14</v>
      </c>
      <c r="J882" t="s">
        <v>174</v>
      </c>
    </row>
    <row r="883" spans="1:10">
      <c r="A883">
        <v>313605</v>
      </c>
      <c r="B883" t="s">
        <v>921</v>
      </c>
      <c r="C883" t="s">
        <v>922</v>
      </c>
      <c r="D883" t="s">
        <v>70</v>
      </c>
      <c r="E883" t="s">
        <v>13</v>
      </c>
      <c r="F883">
        <v>9.7988508169999999</v>
      </c>
      <c r="G883">
        <v>76.459887379999998</v>
      </c>
      <c r="H883">
        <v>2</v>
      </c>
      <c r="I883" t="s">
        <v>14</v>
      </c>
      <c r="J883" t="s">
        <v>174</v>
      </c>
    </row>
    <row r="884" spans="1:10">
      <c r="A884">
        <v>313603</v>
      </c>
      <c r="B884" t="s">
        <v>807</v>
      </c>
      <c r="C884" t="s">
        <v>923</v>
      </c>
      <c r="D884" t="s">
        <v>70</v>
      </c>
      <c r="E884" t="s">
        <v>13</v>
      </c>
      <c r="F884">
        <v>9.5945813750000006</v>
      </c>
      <c r="G884">
        <v>76.426069420000005</v>
      </c>
      <c r="H884">
        <v>2</v>
      </c>
      <c r="I884" t="s">
        <v>14</v>
      </c>
      <c r="J884" t="s">
        <v>174</v>
      </c>
    </row>
    <row r="885" spans="1:10">
      <c r="A885">
        <v>313602</v>
      </c>
      <c r="B885" t="s">
        <v>924</v>
      </c>
      <c r="C885" t="s">
        <v>925</v>
      </c>
      <c r="D885" t="s">
        <v>70</v>
      </c>
      <c r="E885" t="s">
        <v>13</v>
      </c>
      <c r="F885">
        <v>8.5023293280000001</v>
      </c>
      <c r="G885">
        <v>76.897725570000006</v>
      </c>
      <c r="H885">
        <v>1</v>
      </c>
      <c r="I885" t="s">
        <v>14</v>
      </c>
      <c r="J885" t="s">
        <v>174</v>
      </c>
    </row>
    <row r="886" spans="1:10">
      <c r="A886">
        <v>313601</v>
      </c>
      <c r="B886" t="s">
        <v>926</v>
      </c>
      <c r="C886" t="s">
        <v>187</v>
      </c>
      <c r="D886" t="s">
        <v>70</v>
      </c>
      <c r="E886" t="s">
        <v>13</v>
      </c>
      <c r="F886">
        <v>8.3578738529999992</v>
      </c>
      <c r="G886">
        <v>77.072944980000003</v>
      </c>
      <c r="H886">
        <v>2</v>
      </c>
      <c r="I886" t="s">
        <v>14</v>
      </c>
      <c r="J886" t="s">
        <v>174</v>
      </c>
    </row>
    <row r="887" spans="1:10">
      <c r="A887">
        <v>313600</v>
      </c>
      <c r="B887" t="s">
        <v>927</v>
      </c>
      <c r="C887" t="s">
        <v>928</v>
      </c>
      <c r="D887" t="s">
        <v>70</v>
      </c>
      <c r="E887" t="s">
        <v>13</v>
      </c>
      <c r="F887">
        <v>8.4949747779999996</v>
      </c>
      <c r="G887">
        <v>76.977567980000003</v>
      </c>
      <c r="H887">
        <v>2</v>
      </c>
      <c r="I887" t="s">
        <v>14</v>
      </c>
      <c r="J887" t="s">
        <v>174</v>
      </c>
    </row>
    <row r="888" spans="1:10">
      <c r="A888">
        <v>313599</v>
      </c>
      <c r="B888" t="s">
        <v>929</v>
      </c>
      <c r="C888" t="s">
        <v>930</v>
      </c>
      <c r="D888" t="s">
        <v>70</v>
      </c>
      <c r="E888" t="s">
        <v>13</v>
      </c>
      <c r="F888">
        <v>8.5485423750000002</v>
      </c>
      <c r="G888">
        <v>76.91829328</v>
      </c>
      <c r="H888">
        <v>2</v>
      </c>
      <c r="I888" t="s">
        <v>14</v>
      </c>
      <c r="J888" t="s">
        <v>174</v>
      </c>
    </row>
    <row r="889" spans="1:10">
      <c r="A889">
        <v>313598</v>
      </c>
      <c r="B889" t="s">
        <v>931</v>
      </c>
      <c r="C889" t="s">
        <v>932</v>
      </c>
      <c r="D889" t="s">
        <v>70</v>
      </c>
      <c r="E889" t="s">
        <v>13</v>
      </c>
      <c r="F889">
        <v>8.5608201519999998</v>
      </c>
      <c r="G889">
        <v>76.898164640000005</v>
      </c>
      <c r="H889">
        <v>1</v>
      </c>
      <c r="I889" t="s">
        <v>14</v>
      </c>
      <c r="J889" t="s">
        <v>174</v>
      </c>
    </row>
    <row r="890" spans="1:10">
      <c r="A890">
        <v>313597</v>
      </c>
      <c r="B890" t="s">
        <v>933</v>
      </c>
      <c r="C890" t="s">
        <v>934</v>
      </c>
      <c r="D890" t="s">
        <v>70</v>
      </c>
      <c r="E890" t="s">
        <v>13</v>
      </c>
      <c r="F890">
        <v>8.5653001660000001</v>
      </c>
      <c r="G890">
        <v>76.874447380000007</v>
      </c>
      <c r="H890">
        <v>2</v>
      </c>
      <c r="I890" t="s">
        <v>14</v>
      </c>
      <c r="J890" t="s">
        <v>174</v>
      </c>
    </row>
    <row r="891" spans="1:10">
      <c r="A891">
        <v>313594</v>
      </c>
      <c r="B891" t="s">
        <v>935</v>
      </c>
      <c r="C891" t="s">
        <v>936</v>
      </c>
      <c r="D891" t="s">
        <v>70</v>
      </c>
      <c r="E891" t="s">
        <v>13</v>
      </c>
      <c r="F891">
        <v>9.7891702219999992</v>
      </c>
      <c r="G891">
        <v>76.853856890000003</v>
      </c>
      <c r="H891">
        <v>6</v>
      </c>
      <c r="I891" t="s">
        <v>14</v>
      </c>
      <c r="J891" t="s">
        <v>174</v>
      </c>
    </row>
    <row r="892" spans="1:10">
      <c r="A892">
        <v>313593</v>
      </c>
      <c r="B892" t="s">
        <v>937</v>
      </c>
      <c r="C892" t="s">
        <v>308</v>
      </c>
      <c r="D892" t="s">
        <v>70</v>
      </c>
      <c r="E892" t="s">
        <v>13</v>
      </c>
      <c r="F892">
        <v>9.6843039869999998</v>
      </c>
      <c r="G892">
        <v>76.895482639999997</v>
      </c>
      <c r="H892">
        <v>3</v>
      </c>
      <c r="I892" t="s">
        <v>14</v>
      </c>
      <c r="J892" t="s">
        <v>174</v>
      </c>
    </row>
    <row r="893" spans="1:10">
      <c r="A893">
        <v>313592</v>
      </c>
      <c r="B893" t="s">
        <v>938</v>
      </c>
      <c r="C893" t="s">
        <v>939</v>
      </c>
      <c r="D893" t="s">
        <v>70</v>
      </c>
      <c r="E893" t="s">
        <v>13</v>
      </c>
      <c r="F893">
        <v>9.6906789680000003</v>
      </c>
      <c r="G893">
        <v>76.774589730000002</v>
      </c>
      <c r="H893">
        <v>1</v>
      </c>
      <c r="I893" t="s">
        <v>14</v>
      </c>
      <c r="J893" t="s">
        <v>174</v>
      </c>
    </row>
    <row r="894" spans="1:10">
      <c r="A894">
        <v>313591</v>
      </c>
      <c r="B894" t="s">
        <v>940</v>
      </c>
      <c r="C894" t="s">
        <v>310</v>
      </c>
      <c r="D894" t="s">
        <v>70</v>
      </c>
      <c r="E894" t="s">
        <v>13</v>
      </c>
      <c r="F894">
        <v>9.7119183479999993</v>
      </c>
      <c r="G894">
        <v>76.693244500000006</v>
      </c>
      <c r="H894">
        <v>1</v>
      </c>
      <c r="I894" t="s">
        <v>14</v>
      </c>
      <c r="J894" t="s">
        <v>174</v>
      </c>
    </row>
    <row r="895" spans="1:10">
      <c r="A895">
        <v>313590</v>
      </c>
      <c r="B895" t="s">
        <v>941</v>
      </c>
      <c r="C895" t="s">
        <v>310</v>
      </c>
      <c r="D895" t="s">
        <v>70</v>
      </c>
      <c r="E895" t="s">
        <v>13</v>
      </c>
      <c r="F895">
        <v>9.6916237980000002</v>
      </c>
      <c r="G895">
        <v>76.640316949999999</v>
      </c>
      <c r="H895">
        <v>4</v>
      </c>
      <c r="I895" t="s">
        <v>14</v>
      </c>
      <c r="J895" t="s">
        <v>174</v>
      </c>
    </row>
    <row r="896" spans="1:10">
      <c r="A896">
        <v>313589</v>
      </c>
      <c r="B896" t="s">
        <v>942</v>
      </c>
      <c r="C896" t="s">
        <v>83</v>
      </c>
      <c r="D896" t="s">
        <v>70</v>
      </c>
      <c r="E896" t="s">
        <v>13</v>
      </c>
      <c r="F896">
        <v>9.6611638519999996</v>
      </c>
      <c r="G896">
        <v>76.551328330000004</v>
      </c>
      <c r="H896">
        <v>2</v>
      </c>
      <c r="I896" t="s">
        <v>14</v>
      </c>
      <c r="J896" t="s">
        <v>174</v>
      </c>
    </row>
    <row r="897" spans="1:10">
      <c r="A897">
        <v>313587</v>
      </c>
      <c r="B897" t="s">
        <v>943</v>
      </c>
      <c r="C897" t="s">
        <v>944</v>
      </c>
      <c r="D897" t="s">
        <v>70</v>
      </c>
      <c r="E897" t="s">
        <v>13</v>
      </c>
      <c r="F897">
        <v>9.6326842090000007</v>
      </c>
      <c r="G897">
        <v>76.524401699999999</v>
      </c>
      <c r="H897">
        <v>5</v>
      </c>
      <c r="I897" t="s">
        <v>14</v>
      </c>
      <c r="J897" t="s">
        <v>174</v>
      </c>
    </row>
    <row r="898" spans="1:10">
      <c r="A898">
        <v>313586</v>
      </c>
      <c r="B898" t="s">
        <v>945</v>
      </c>
      <c r="C898" t="s">
        <v>614</v>
      </c>
      <c r="D898" t="s">
        <v>70</v>
      </c>
      <c r="E898" t="s">
        <v>13</v>
      </c>
      <c r="F898">
        <v>9.6018369589999999</v>
      </c>
      <c r="G898">
        <v>76.532159010000001</v>
      </c>
      <c r="H898">
        <v>1</v>
      </c>
      <c r="I898" t="s">
        <v>14</v>
      </c>
      <c r="J898" t="s">
        <v>174</v>
      </c>
    </row>
    <row r="899" spans="1:10">
      <c r="A899">
        <v>313585</v>
      </c>
      <c r="B899" t="s">
        <v>946</v>
      </c>
      <c r="C899" t="s">
        <v>614</v>
      </c>
      <c r="D899" t="s">
        <v>70</v>
      </c>
      <c r="E899" t="s">
        <v>13</v>
      </c>
      <c r="F899">
        <v>9.5862574879999993</v>
      </c>
      <c r="G899">
        <v>76.588415220000002</v>
      </c>
      <c r="H899">
        <v>2</v>
      </c>
      <c r="I899" t="s">
        <v>14</v>
      </c>
      <c r="J899" t="s">
        <v>174</v>
      </c>
    </row>
    <row r="900" spans="1:10">
      <c r="A900">
        <v>313584</v>
      </c>
      <c r="B900" t="s">
        <v>947</v>
      </c>
      <c r="C900" t="s">
        <v>948</v>
      </c>
      <c r="D900" t="s">
        <v>70</v>
      </c>
      <c r="E900" t="s">
        <v>13</v>
      </c>
      <c r="F900">
        <v>9.5430649069999998</v>
      </c>
      <c r="G900">
        <v>76.514231330000001</v>
      </c>
      <c r="H900">
        <v>6</v>
      </c>
      <c r="I900" t="s">
        <v>14</v>
      </c>
      <c r="J900" t="s">
        <v>174</v>
      </c>
    </row>
    <row r="901" spans="1:10">
      <c r="A901">
        <v>313583</v>
      </c>
      <c r="B901" t="s">
        <v>949</v>
      </c>
      <c r="C901" t="s">
        <v>617</v>
      </c>
      <c r="D901" t="s">
        <v>70</v>
      </c>
      <c r="E901" t="s">
        <v>13</v>
      </c>
      <c r="F901">
        <v>9.5199320449999991</v>
      </c>
      <c r="G901">
        <v>76.327521640000001</v>
      </c>
      <c r="H901">
        <v>1</v>
      </c>
      <c r="I901" t="s">
        <v>14</v>
      </c>
      <c r="J901" t="s">
        <v>174</v>
      </c>
    </row>
    <row r="902" spans="1:10">
      <c r="A902">
        <v>313582</v>
      </c>
      <c r="B902" t="s">
        <v>950</v>
      </c>
      <c r="C902" t="s">
        <v>617</v>
      </c>
      <c r="D902" t="s">
        <v>70</v>
      </c>
      <c r="E902" t="s">
        <v>13</v>
      </c>
      <c r="F902">
        <v>9.5051474650000003</v>
      </c>
      <c r="G902">
        <v>76.328325980000002</v>
      </c>
      <c r="H902">
        <v>1</v>
      </c>
      <c r="I902" t="s">
        <v>14</v>
      </c>
      <c r="J902" t="s">
        <v>174</v>
      </c>
    </row>
    <row r="903" spans="1:10">
      <c r="A903">
        <v>313581</v>
      </c>
      <c r="B903" t="s">
        <v>951</v>
      </c>
      <c r="C903" t="s">
        <v>952</v>
      </c>
      <c r="D903" t="s">
        <v>70</v>
      </c>
      <c r="E903" t="s">
        <v>13</v>
      </c>
      <c r="F903">
        <v>9.4256169029999999</v>
      </c>
      <c r="G903">
        <v>76.346772639999998</v>
      </c>
      <c r="H903">
        <v>5</v>
      </c>
      <c r="I903" t="s">
        <v>14</v>
      </c>
      <c r="J903" t="s">
        <v>174</v>
      </c>
    </row>
    <row r="904" spans="1:10">
      <c r="A904">
        <v>313580</v>
      </c>
      <c r="B904" t="s">
        <v>953</v>
      </c>
      <c r="C904" t="s">
        <v>954</v>
      </c>
      <c r="D904" t="s">
        <v>70</v>
      </c>
      <c r="E904" t="s">
        <v>13</v>
      </c>
      <c r="F904">
        <v>9.5061644360000006</v>
      </c>
      <c r="G904">
        <v>76.652333609999999</v>
      </c>
      <c r="H904">
        <v>2</v>
      </c>
      <c r="I904" t="s">
        <v>14</v>
      </c>
      <c r="J904" t="s">
        <v>174</v>
      </c>
    </row>
    <row r="905" spans="1:10">
      <c r="A905">
        <v>313579</v>
      </c>
      <c r="B905" t="s">
        <v>955</v>
      </c>
      <c r="C905" t="s">
        <v>316</v>
      </c>
      <c r="D905" t="s">
        <v>70</v>
      </c>
      <c r="E905" t="s">
        <v>13</v>
      </c>
      <c r="F905">
        <v>9.4522503259999997</v>
      </c>
      <c r="G905">
        <v>76.547238899999996</v>
      </c>
      <c r="H905">
        <v>3</v>
      </c>
      <c r="I905" t="s">
        <v>14</v>
      </c>
      <c r="J905" t="s">
        <v>174</v>
      </c>
    </row>
    <row r="906" spans="1:10">
      <c r="A906">
        <v>313578</v>
      </c>
      <c r="B906" t="s">
        <v>956</v>
      </c>
      <c r="C906" t="s">
        <v>322</v>
      </c>
      <c r="D906" t="s">
        <v>70</v>
      </c>
      <c r="E906" t="s">
        <v>13</v>
      </c>
      <c r="F906">
        <v>9.4210762670000001</v>
      </c>
      <c r="G906">
        <v>76.546134170000002</v>
      </c>
      <c r="H906">
        <v>1</v>
      </c>
      <c r="I906" t="s">
        <v>14</v>
      </c>
      <c r="J906" t="s">
        <v>174</v>
      </c>
    </row>
    <row r="907" spans="1:10">
      <c r="A907">
        <v>313577</v>
      </c>
      <c r="B907" t="s">
        <v>957</v>
      </c>
      <c r="C907" t="s">
        <v>322</v>
      </c>
      <c r="D907" t="s">
        <v>70</v>
      </c>
      <c r="E907" t="s">
        <v>13</v>
      </c>
      <c r="F907">
        <v>9.3733219820000002</v>
      </c>
      <c r="G907">
        <v>76.564810649999998</v>
      </c>
      <c r="H907">
        <v>1</v>
      </c>
      <c r="I907" t="s">
        <v>14</v>
      </c>
      <c r="J907" t="s">
        <v>174</v>
      </c>
    </row>
    <row r="908" spans="1:10">
      <c r="A908">
        <v>313576</v>
      </c>
      <c r="B908" t="s">
        <v>958</v>
      </c>
      <c r="C908" t="s">
        <v>959</v>
      </c>
      <c r="D908" t="s">
        <v>70</v>
      </c>
      <c r="E908" t="s">
        <v>13</v>
      </c>
      <c r="F908">
        <v>9.3675258800000005</v>
      </c>
      <c r="G908">
        <v>76.49951806</v>
      </c>
      <c r="H908">
        <v>3</v>
      </c>
      <c r="I908" t="s">
        <v>14</v>
      </c>
      <c r="J908" t="s">
        <v>174</v>
      </c>
    </row>
    <row r="909" spans="1:10">
      <c r="A909">
        <v>313575</v>
      </c>
      <c r="B909" t="s">
        <v>960</v>
      </c>
      <c r="C909" t="s">
        <v>961</v>
      </c>
      <c r="D909" t="s">
        <v>70</v>
      </c>
      <c r="E909" t="s">
        <v>13</v>
      </c>
      <c r="F909">
        <v>9.3142502829999998</v>
      </c>
      <c r="G909">
        <v>76.429107729999998</v>
      </c>
      <c r="H909">
        <v>4</v>
      </c>
      <c r="I909" t="s">
        <v>14</v>
      </c>
      <c r="J909" t="s">
        <v>174</v>
      </c>
    </row>
    <row r="910" spans="1:10">
      <c r="A910">
        <v>313574</v>
      </c>
      <c r="B910" t="s">
        <v>962</v>
      </c>
      <c r="C910" t="s">
        <v>961</v>
      </c>
      <c r="D910" t="s">
        <v>70</v>
      </c>
      <c r="E910" t="s">
        <v>13</v>
      </c>
      <c r="F910">
        <v>9.315750049</v>
      </c>
      <c r="G910">
        <v>76.401221199999995</v>
      </c>
      <c r="H910">
        <v>7</v>
      </c>
      <c r="I910" t="s">
        <v>14</v>
      </c>
      <c r="J910" t="s">
        <v>174</v>
      </c>
    </row>
    <row r="911" spans="1:10">
      <c r="A911">
        <v>313569</v>
      </c>
      <c r="B911" t="s">
        <v>963</v>
      </c>
      <c r="C911" t="s">
        <v>585</v>
      </c>
      <c r="D911" t="s">
        <v>70</v>
      </c>
      <c r="E911" t="s">
        <v>13</v>
      </c>
      <c r="F911">
        <v>9.3166523689999998</v>
      </c>
      <c r="G911">
        <v>76.800902269999995</v>
      </c>
      <c r="H911">
        <v>2</v>
      </c>
      <c r="I911" t="s">
        <v>14</v>
      </c>
      <c r="J911" t="s">
        <v>174</v>
      </c>
    </row>
    <row r="912" spans="1:10">
      <c r="A912">
        <v>313567</v>
      </c>
      <c r="B912" t="s">
        <v>964</v>
      </c>
      <c r="C912" t="s">
        <v>965</v>
      </c>
      <c r="D912" t="s">
        <v>70</v>
      </c>
      <c r="E912" t="s">
        <v>13</v>
      </c>
      <c r="F912">
        <v>9.4123781189999995</v>
      </c>
      <c r="G912">
        <v>77.069968560000007</v>
      </c>
      <c r="H912">
        <v>6</v>
      </c>
      <c r="I912" t="s">
        <v>14</v>
      </c>
      <c r="J912" t="s">
        <v>174</v>
      </c>
    </row>
    <row r="913" spans="1:10">
      <c r="A913">
        <v>313560</v>
      </c>
      <c r="B913" t="s">
        <v>966</v>
      </c>
      <c r="C913" t="s">
        <v>585</v>
      </c>
      <c r="D913" t="s">
        <v>70</v>
      </c>
      <c r="E913" t="s">
        <v>13</v>
      </c>
      <c r="F913">
        <v>9.3062220520000007</v>
      </c>
      <c r="G913">
        <v>76.803665780000003</v>
      </c>
      <c r="H913">
        <v>1</v>
      </c>
      <c r="I913" t="s">
        <v>14</v>
      </c>
      <c r="J913" t="s">
        <v>174</v>
      </c>
    </row>
    <row r="914" spans="1:10">
      <c r="A914">
        <v>313559</v>
      </c>
      <c r="B914" t="s">
        <v>967</v>
      </c>
      <c r="C914" t="s">
        <v>587</v>
      </c>
      <c r="D914" t="s">
        <v>70</v>
      </c>
      <c r="E914" t="s">
        <v>13</v>
      </c>
      <c r="F914">
        <v>9.2718446570000008</v>
      </c>
      <c r="G914">
        <v>76.655087890000004</v>
      </c>
      <c r="H914">
        <v>1</v>
      </c>
      <c r="I914" t="s">
        <v>14</v>
      </c>
      <c r="J914" t="s">
        <v>174</v>
      </c>
    </row>
    <row r="915" spans="1:10">
      <c r="A915">
        <v>313557</v>
      </c>
      <c r="B915" t="s">
        <v>968</v>
      </c>
      <c r="C915" t="s">
        <v>587</v>
      </c>
      <c r="D915" t="s">
        <v>70</v>
      </c>
      <c r="E915" t="s">
        <v>13</v>
      </c>
      <c r="F915">
        <v>9.3012934020000007</v>
      </c>
      <c r="G915">
        <v>76.63077878</v>
      </c>
      <c r="H915">
        <v>3</v>
      </c>
      <c r="I915" t="s">
        <v>14</v>
      </c>
      <c r="J915" t="s">
        <v>174</v>
      </c>
    </row>
    <row r="916" spans="1:10">
      <c r="A916">
        <v>313555</v>
      </c>
      <c r="B916" t="s">
        <v>969</v>
      </c>
      <c r="C916" t="s">
        <v>970</v>
      </c>
      <c r="D916" t="s">
        <v>12</v>
      </c>
      <c r="E916" t="s">
        <v>13</v>
      </c>
      <c r="F916">
        <v>9.2516738529999998</v>
      </c>
      <c r="G916">
        <v>76.487232640000002</v>
      </c>
      <c r="H916">
        <v>2</v>
      </c>
      <c r="I916" t="s">
        <v>425</v>
      </c>
      <c r="J916" t="s">
        <v>174</v>
      </c>
    </row>
    <row r="917" spans="1:10">
      <c r="A917">
        <v>313554</v>
      </c>
      <c r="B917" t="s">
        <v>971</v>
      </c>
      <c r="C917" t="s">
        <v>972</v>
      </c>
      <c r="D917" t="s">
        <v>70</v>
      </c>
      <c r="E917" t="s">
        <v>13</v>
      </c>
      <c r="F917">
        <v>9.2325055799999998</v>
      </c>
      <c r="G917">
        <v>76.537902779999996</v>
      </c>
      <c r="H917">
        <v>1</v>
      </c>
      <c r="I917" t="s">
        <v>14</v>
      </c>
      <c r="J917" t="s">
        <v>174</v>
      </c>
    </row>
    <row r="918" spans="1:10">
      <c r="A918">
        <v>313553</v>
      </c>
      <c r="B918" t="s">
        <v>973</v>
      </c>
      <c r="C918" t="s">
        <v>974</v>
      </c>
      <c r="D918" t="s">
        <v>70</v>
      </c>
      <c r="E918" t="s">
        <v>13</v>
      </c>
      <c r="F918">
        <v>9.2291284240000007</v>
      </c>
      <c r="G918">
        <v>76.848391280000001</v>
      </c>
      <c r="H918">
        <v>1</v>
      </c>
      <c r="I918" t="s">
        <v>14</v>
      </c>
      <c r="J918" t="s">
        <v>174</v>
      </c>
    </row>
    <row r="919" spans="1:10">
      <c r="A919">
        <v>313552</v>
      </c>
      <c r="B919" t="s">
        <v>975</v>
      </c>
      <c r="C919" t="s">
        <v>976</v>
      </c>
      <c r="D919" t="s">
        <v>70</v>
      </c>
      <c r="E919" t="s">
        <v>13</v>
      </c>
      <c r="F919">
        <v>9.1871837410000001</v>
      </c>
      <c r="G919">
        <v>76.709295499999996</v>
      </c>
      <c r="H919">
        <v>2</v>
      </c>
      <c r="I919" t="s">
        <v>14</v>
      </c>
      <c r="J919" t="s">
        <v>174</v>
      </c>
    </row>
    <row r="920" spans="1:10">
      <c r="A920">
        <v>313550</v>
      </c>
      <c r="B920" t="s">
        <v>977</v>
      </c>
      <c r="C920" t="s">
        <v>976</v>
      </c>
      <c r="D920" t="s">
        <v>70</v>
      </c>
      <c r="E920" t="s">
        <v>13</v>
      </c>
      <c r="F920">
        <v>9.1803079459999992</v>
      </c>
      <c r="G920">
        <v>76.708966759999996</v>
      </c>
      <c r="H920">
        <v>1</v>
      </c>
      <c r="I920" t="s">
        <v>14</v>
      </c>
      <c r="J920" t="s">
        <v>174</v>
      </c>
    </row>
    <row r="921" spans="1:10">
      <c r="A921">
        <v>313549</v>
      </c>
      <c r="B921" t="s">
        <v>978</v>
      </c>
      <c r="C921" t="s">
        <v>326</v>
      </c>
      <c r="D921" t="s">
        <v>70</v>
      </c>
      <c r="E921" t="s">
        <v>13</v>
      </c>
      <c r="F921">
        <v>9.1624994050000002</v>
      </c>
      <c r="G921">
        <v>76.710516780000006</v>
      </c>
      <c r="H921">
        <v>1</v>
      </c>
      <c r="I921" t="s">
        <v>14</v>
      </c>
      <c r="J921" t="s">
        <v>174</v>
      </c>
    </row>
    <row r="922" spans="1:10">
      <c r="A922">
        <v>313548</v>
      </c>
      <c r="B922" t="s">
        <v>979</v>
      </c>
      <c r="C922" t="s">
        <v>972</v>
      </c>
      <c r="D922" t="s">
        <v>70</v>
      </c>
      <c r="E922" t="s">
        <v>13</v>
      </c>
      <c r="F922">
        <v>9.1988811090000002</v>
      </c>
      <c r="G922">
        <v>76.600176500000003</v>
      </c>
      <c r="H922">
        <v>2</v>
      </c>
      <c r="I922" t="s">
        <v>14</v>
      </c>
      <c r="J922" t="s">
        <v>174</v>
      </c>
    </row>
    <row r="923" spans="1:10">
      <c r="A923">
        <v>313547</v>
      </c>
      <c r="B923" t="s">
        <v>980</v>
      </c>
      <c r="C923" t="s">
        <v>981</v>
      </c>
      <c r="D923" t="s">
        <v>70</v>
      </c>
      <c r="E923" t="s">
        <v>13</v>
      </c>
      <c r="F923">
        <v>9.1306255949999997</v>
      </c>
      <c r="G923">
        <v>76.514297139999996</v>
      </c>
      <c r="H923">
        <v>1</v>
      </c>
      <c r="I923" t="s">
        <v>14</v>
      </c>
      <c r="J923" t="s">
        <v>174</v>
      </c>
    </row>
    <row r="924" spans="1:10">
      <c r="A924">
        <v>313546</v>
      </c>
      <c r="B924" t="s">
        <v>982</v>
      </c>
      <c r="C924" t="s">
        <v>564</v>
      </c>
      <c r="D924" t="s">
        <v>70</v>
      </c>
      <c r="E924" t="s">
        <v>13</v>
      </c>
      <c r="F924">
        <v>9.0593502969999999</v>
      </c>
      <c r="G924">
        <v>76.76600397</v>
      </c>
      <c r="H924">
        <v>2</v>
      </c>
      <c r="I924" t="s">
        <v>14</v>
      </c>
      <c r="J924" t="s">
        <v>174</v>
      </c>
    </row>
    <row r="925" spans="1:10">
      <c r="A925">
        <v>313545</v>
      </c>
      <c r="B925" t="s">
        <v>983</v>
      </c>
      <c r="C925" t="s">
        <v>564</v>
      </c>
      <c r="D925" t="s">
        <v>70</v>
      </c>
      <c r="E925" t="s">
        <v>13</v>
      </c>
      <c r="F925">
        <v>9.0303518700000005</v>
      </c>
      <c r="G925">
        <v>76.782197769999996</v>
      </c>
      <c r="H925">
        <v>1</v>
      </c>
      <c r="I925" t="s">
        <v>14</v>
      </c>
      <c r="J925" t="s">
        <v>174</v>
      </c>
    </row>
    <row r="926" spans="1:10">
      <c r="A926">
        <v>313541</v>
      </c>
      <c r="B926" t="s">
        <v>984</v>
      </c>
      <c r="C926" t="s">
        <v>985</v>
      </c>
      <c r="D926" t="s">
        <v>70</v>
      </c>
      <c r="E926" t="s">
        <v>13</v>
      </c>
      <c r="F926">
        <v>8.9668241959999992</v>
      </c>
      <c r="G926">
        <v>77.055629629999999</v>
      </c>
      <c r="H926">
        <v>1</v>
      </c>
      <c r="I926" t="s">
        <v>14</v>
      </c>
      <c r="J926" t="s">
        <v>174</v>
      </c>
    </row>
    <row r="927" spans="1:10">
      <c r="A927">
        <v>313540</v>
      </c>
      <c r="B927" t="s">
        <v>986</v>
      </c>
      <c r="C927" t="s">
        <v>987</v>
      </c>
      <c r="D927" t="s">
        <v>70</v>
      </c>
      <c r="E927" t="s">
        <v>13</v>
      </c>
      <c r="F927">
        <v>8.9350452100000002</v>
      </c>
      <c r="G927">
        <v>76.772415480000006</v>
      </c>
      <c r="H927">
        <v>1</v>
      </c>
      <c r="I927" t="s">
        <v>14</v>
      </c>
      <c r="J927" t="s">
        <v>174</v>
      </c>
    </row>
    <row r="928" spans="1:10">
      <c r="A928">
        <v>313539</v>
      </c>
      <c r="B928" t="s">
        <v>988</v>
      </c>
      <c r="C928" t="s">
        <v>566</v>
      </c>
      <c r="D928" t="s">
        <v>70</v>
      </c>
      <c r="E928" t="s">
        <v>13</v>
      </c>
      <c r="F928">
        <v>8.9571858580000008</v>
      </c>
      <c r="G928">
        <v>76.671336530000005</v>
      </c>
      <c r="H928">
        <v>6</v>
      </c>
      <c r="I928" t="s">
        <v>14</v>
      </c>
      <c r="J928" t="s">
        <v>174</v>
      </c>
    </row>
    <row r="929" spans="1:10">
      <c r="A929">
        <v>313538</v>
      </c>
      <c r="B929" t="s">
        <v>989</v>
      </c>
      <c r="C929" t="s">
        <v>338</v>
      </c>
      <c r="D929" t="s">
        <v>70</v>
      </c>
      <c r="E929" t="s">
        <v>13</v>
      </c>
      <c r="F929">
        <v>8.9269695240000004</v>
      </c>
      <c r="G929">
        <v>76.552803150000003</v>
      </c>
      <c r="H929">
        <v>2</v>
      </c>
      <c r="I929" t="s">
        <v>14</v>
      </c>
      <c r="J929" t="s">
        <v>174</v>
      </c>
    </row>
    <row r="930" spans="1:10">
      <c r="A930">
        <v>313537</v>
      </c>
      <c r="B930" t="s">
        <v>990</v>
      </c>
      <c r="C930" t="s">
        <v>991</v>
      </c>
      <c r="D930" t="s">
        <v>70</v>
      </c>
      <c r="E930" t="s">
        <v>13</v>
      </c>
      <c r="F930">
        <v>8.8875774140000008</v>
      </c>
      <c r="G930">
        <v>76.588436610000002</v>
      </c>
      <c r="H930">
        <v>2</v>
      </c>
      <c r="I930" t="s">
        <v>14</v>
      </c>
      <c r="J930" t="s">
        <v>174</v>
      </c>
    </row>
    <row r="931" spans="1:10">
      <c r="A931">
        <v>313536</v>
      </c>
      <c r="B931" t="s">
        <v>992</v>
      </c>
      <c r="C931" t="s">
        <v>338</v>
      </c>
      <c r="D931" t="s">
        <v>70</v>
      </c>
      <c r="E931" t="s">
        <v>13</v>
      </c>
      <c r="F931">
        <v>8.8738680159999994</v>
      </c>
      <c r="G931">
        <v>76.641008929999998</v>
      </c>
      <c r="H931">
        <v>1</v>
      </c>
      <c r="I931" t="s">
        <v>14</v>
      </c>
      <c r="J931" t="s">
        <v>174</v>
      </c>
    </row>
    <row r="932" spans="1:10">
      <c r="A932">
        <v>313535</v>
      </c>
      <c r="B932" t="s">
        <v>993</v>
      </c>
      <c r="C932" t="s">
        <v>994</v>
      </c>
      <c r="D932" t="s">
        <v>70</v>
      </c>
      <c r="E932" t="s">
        <v>13</v>
      </c>
      <c r="F932">
        <v>8.8196738680000006</v>
      </c>
      <c r="G932">
        <v>76.753637310000002</v>
      </c>
      <c r="H932">
        <v>1</v>
      </c>
      <c r="I932" t="s">
        <v>14</v>
      </c>
      <c r="J932" t="s">
        <v>174</v>
      </c>
    </row>
    <row r="933" spans="1:10">
      <c r="A933">
        <v>313534</v>
      </c>
      <c r="B933" t="s">
        <v>995</v>
      </c>
      <c r="C933" t="s">
        <v>564</v>
      </c>
      <c r="D933" t="s">
        <v>70</v>
      </c>
      <c r="E933" t="s">
        <v>13</v>
      </c>
      <c r="F933">
        <v>8.9356940349999991</v>
      </c>
      <c r="G933">
        <v>76.851049209999999</v>
      </c>
      <c r="H933">
        <v>2</v>
      </c>
      <c r="I933" t="s">
        <v>14</v>
      </c>
      <c r="J933" t="s">
        <v>174</v>
      </c>
    </row>
    <row r="934" spans="1:10">
      <c r="A934">
        <v>313533</v>
      </c>
      <c r="B934" t="s">
        <v>996</v>
      </c>
      <c r="C934" t="s">
        <v>997</v>
      </c>
      <c r="D934" t="s">
        <v>70</v>
      </c>
      <c r="E934" t="s">
        <v>13</v>
      </c>
      <c r="F934">
        <v>8.8663700950000006</v>
      </c>
      <c r="G934">
        <v>76.668877809999998</v>
      </c>
      <c r="H934">
        <v>6</v>
      </c>
      <c r="I934" t="s">
        <v>425</v>
      </c>
      <c r="J934" t="s">
        <v>174</v>
      </c>
    </row>
    <row r="935" spans="1:10">
      <c r="A935">
        <v>313532</v>
      </c>
      <c r="B935" t="s">
        <v>998</v>
      </c>
      <c r="C935" t="s">
        <v>557</v>
      </c>
      <c r="D935" t="s">
        <v>70</v>
      </c>
      <c r="E935" t="s">
        <v>13</v>
      </c>
      <c r="F935">
        <v>8.6909877640000008</v>
      </c>
      <c r="G935">
        <v>76.848397790000007</v>
      </c>
      <c r="H935">
        <v>6</v>
      </c>
      <c r="I935" t="s">
        <v>14</v>
      </c>
      <c r="J935" t="s">
        <v>174</v>
      </c>
    </row>
    <row r="936" spans="1:10">
      <c r="A936">
        <v>313531</v>
      </c>
      <c r="B936" t="s">
        <v>999</v>
      </c>
      <c r="C936" t="s">
        <v>1000</v>
      </c>
      <c r="D936" t="s">
        <v>70</v>
      </c>
      <c r="E936" t="s">
        <v>13</v>
      </c>
      <c r="F936">
        <v>8.5349338410000009</v>
      </c>
      <c r="G936">
        <v>76.941984259999998</v>
      </c>
      <c r="H936">
        <v>6</v>
      </c>
      <c r="I936" t="s">
        <v>14</v>
      </c>
      <c r="J936" t="s">
        <v>174</v>
      </c>
    </row>
    <row r="937" spans="1:10">
      <c r="A937">
        <v>313530</v>
      </c>
      <c r="B937" t="s">
        <v>1001</v>
      </c>
      <c r="C937" t="s">
        <v>1002</v>
      </c>
      <c r="D937" t="s">
        <v>70</v>
      </c>
      <c r="E937" t="s">
        <v>13</v>
      </c>
      <c r="F937">
        <v>8.5167535270000005</v>
      </c>
      <c r="G937">
        <v>76.939688180000005</v>
      </c>
      <c r="H937">
        <v>6</v>
      </c>
      <c r="I937" t="s">
        <v>14</v>
      </c>
      <c r="J937" t="s">
        <v>174</v>
      </c>
    </row>
    <row r="938" spans="1:10">
      <c r="A938">
        <v>313529</v>
      </c>
      <c r="B938" t="s">
        <v>1003</v>
      </c>
      <c r="C938" t="s">
        <v>538</v>
      </c>
      <c r="D938" t="s">
        <v>70</v>
      </c>
      <c r="E938" t="s">
        <v>13</v>
      </c>
      <c r="F938">
        <v>11.7952321</v>
      </c>
      <c r="G938">
        <v>75.490218900000002</v>
      </c>
      <c r="H938">
        <v>3</v>
      </c>
      <c r="I938" t="s">
        <v>14</v>
      </c>
      <c r="J938" t="s">
        <v>417</v>
      </c>
    </row>
    <row r="939" spans="1:10">
      <c r="A939">
        <v>313528</v>
      </c>
      <c r="B939" t="s">
        <v>1004</v>
      </c>
      <c r="C939" t="s">
        <v>1005</v>
      </c>
      <c r="D939" t="s">
        <v>70</v>
      </c>
      <c r="E939" t="s">
        <v>13</v>
      </c>
      <c r="F939">
        <v>11.58636489</v>
      </c>
      <c r="G939">
        <v>75.593220340000002</v>
      </c>
      <c r="H939">
        <v>3</v>
      </c>
      <c r="I939" t="s">
        <v>14</v>
      </c>
      <c r="J939" t="s">
        <v>417</v>
      </c>
    </row>
    <row r="940" spans="1:10">
      <c r="A940">
        <v>313527</v>
      </c>
      <c r="B940" t="s">
        <v>1006</v>
      </c>
      <c r="C940" t="s">
        <v>259</v>
      </c>
      <c r="D940" t="s">
        <v>70</v>
      </c>
      <c r="E940" t="s">
        <v>13</v>
      </c>
      <c r="F940">
        <v>10.97506931</v>
      </c>
      <c r="G940">
        <v>76.222283279999999</v>
      </c>
      <c r="H940">
        <v>3</v>
      </c>
      <c r="I940" t="s">
        <v>14</v>
      </c>
      <c r="J940" t="s">
        <v>417</v>
      </c>
    </row>
    <row r="941" spans="1:10">
      <c r="A941">
        <v>313526</v>
      </c>
      <c r="B941" t="s">
        <v>1007</v>
      </c>
      <c r="C941" t="s">
        <v>693</v>
      </c>
      <c r="D941" t="s">
        <v>711</v>
      </c>
      <c r="E941" t="s">
        <v>13</v>
      </c>
      <c r="F941">
        <v>10.989259260000001</v>
      </c>
      <c r="G941">
        <v>76.537012140000002</v>
      </c>
      <c r="H941">
        <v>3</v>
      </c>
      <c r="I941" t="s">
        <v>14</v>
      </c>
      <c r="J941" t="s">
        <v>417</v>
      </c>
    </row>
    <row r="942" spans="1:10">
      <c r="A942">
        <v>313525</v>
      </c>
      <c r="B942" t="s">
        <v>1008</v>
      </c>
      <c r="C942" t="s">
        <v>577</v>
      </c>
      <c r="D942" t="s">
        <v>1009</v>
      </c>
      <c r="E942" t="s">
        <v>13</v>
      </c>
      <c r="F942">
        <v>9.1490219550000003</v>
      </c>
      <c r="G942">
        <v>76.512918229999997</v>
      </c>
      <c r="H942">
        <v>3</v>
      </c>
      <c r="I942" t="s">
        <v>14</v>
      </c>
      <c r="J942" t="s">
        <v>417</v>
      </c>
    </row>
    <row r="943" spans="1:10">
      <c r="A943">
        <v>313515</v>
      </c>
      <c r="B943" t="s">
        <v>1010</v>
      </c>
      <c r="C943" t="s">
        <v>1011</v>
      </c>
      <c r="D943" t="s">
        <v>70</v>
      </c>
      <c r="E943" t="s">
        <v>13</v>
      </c>
      <c r="F943">
        <v>10.78101644</v>
      </c>
      <c r="G943">
        <v>76.278327660000002</v>
      </c>
      <c r="H943">
        <v>3</v>
      </c>
      <c r="I943" t="s">
        <v>14</v>
      </c>
      <c r="J943" t="s">
        <v>417</v>
      </c>
    </row>
    <row r="944" spans="1:10">
      <c r="A944">
        <v>313514</v>
      </c>
      <c r="B944" t="s">
        <v>1012</v>
      </c>
      <c r="C944" t="s">
        <v>169</v>
      </c>
      <c r="D944" t="s">
        <v>70</v>
      </c>
      <c r="E944" t="s">
        <v>13</v>
      </c>
      <c r="F944">
        <v>10.60158189</v>
      </c>
      <c r="G944">
        <v>76.214882309999993</v>
      </c>
      <c r="H944">
        <v>3</v>
      </c>
      <c r="I944" t="s">
        <v>14</v>
      </c>
      <c r="J944" t="s">
        <v>417</v>
      </c>
    </row>
    <row r="945" spans="1:10">
      <c r="A945">
        <v>313513</v>
      </c>
      <c r="B945" t="s">
        <v>1013</v>
      </c>
      <c r="C945" t="s">
        <v>264</v>
      </c>
      <c r="D945" t="s">
        <v>70</v>
      </c>
      <c r="E945" t="s">
        <v>13</v>
      </c>
      <c r="F945">
        <v>10.69295155</v>
      </c>
      <c r="G945">
        <v>76.726262079999998</v>
      </c>
      <c r="H945">
        <v>3</v>
      </c>
      <c r="I945" t="s">
        <v>14</v>
      </c>
      <c r="J945" t="s">
        <v>417</v>
      </c>
    </row>
    <row r="946" spans="1:10">
      <c r="A946">
        <v>313512</v>
      </c>
      <c r="B946" t="s">
        <v>1014</v>
      </c>
      <c r="C946" t="s">
        <v>304</v>
      </c>
      <c r="D946" t="s">
        <v>70</v>
      </c>
      <c r="E946" t="s">
        <v>13</v>
      </c>
      <c r="F946">
        <v>9.8490565090000004</v>
      </c>
      <c r="G946">
        <v>76.977403710000004</v>
      </c>
      <c r="H946">
        <v>3</v>
      </c>
      <c r="I946" t="s">
        <v>14</v>
      </c>
      <c r="J946" t="s">
        <v>417</v>
      </c>
    </row>
    <row r="947" spans="1:10">
      <c r="A947">
        <v>313511</v>
      </c>
      <c r="B947" t="s">
        <v>1015</v>
      </c>
      <c r="C947" t="s">
        <v>631</v>
      </c>
      <c r="D947" t="s">
        <v>70</v>
      </c>
      <c r="E947" t="s">
        <v>13</v>
      </c>
      <c r="F947">
        <v>9.9769885009999992</v>
      </c>
      <c r="G947">
        <v>76.277810520000003</v>
      </c>
      <c r="H947">
        <v>4</v>
      </c>
      <c r="I947" t="s">
        <v>14</v>
      </c>
      <c r="J947" t="s">
        <v>417</v>
      </c>
    </row>
    <row r="948" spans="1:10">
      <c r="A948">
        <v>313510</v>
      </c>
      <c r="B948" t="s">
        <v>1016</v>
      </c>
      <c r="C948" t="s">
        <v>292</v>
      </c>
      <c r="D948" t="s">
        <v>70</v>
      </c>
      <c r="E948" t="s">
        <v>13</v>
      </c>
      <c r="F948">
        <v>9.6337001299999994</v>
      </c>
      <c r="G948">
        <v>76.333722449999996</v>
      </c>
      <c r="H948">
        <v>3</v>
      </c>
      <c r="I948" t="s">
        <v>14</v>
      </c>
      <c r="J948" t="s">
        <v>417</v>
      </c>
    </row>
    <row r="949" spans="1:10">
      <c r="A949">
        <v>313509</v>
      </c>
      <c r="B949" t="s">
        <v>1017</v>
      </c>
      <c r="C949" t="s">
        <v>585</v>
      </c>
      <c r="D949" t="s">
        <v>70</v>
      </c>
      <c r="E949" t="s">
        <v>13</v>
      </c>
      <c r="F949">
        <v>9.2187886920000004</v>
      </c>
      <c r="G949">
        <v>76.748753980000004</v>
      </c>
      <c r="H949">
        <v>3</v>
      </c>
      <c r="I949" t="s">
        <v>14</v>
      </c>
      <c r="J949" t="s">
        <v>417</v>
      </c>
    </row>
    <row r="950" spans="1:10">
      <c r="A950">
        <v>313508</v>
      </c>
      <c r="B950" t="s">
        <v>1018</v>
      </c>
      <c r="C950" t="s">
        <v>187</v>
      </c>
      <c r="D950" t="s">
        <v>70</v>
      </c>
      <c r="E950" t="s">
        <v>13</v>
      </c>
      <c r="F950">
        <v>8.4810147019999995</v>
      </c>
      <c r="G950">
        <v>76.91264314</v>
      </c>
      <c r="H950">
        <v>4</v>
      </c>
      <c r="I950" t="s">
        <v>14</v>
      </c>
      <c r="J950" t="s">
        <v>417</v>
      </c>
    </row>
    <row r="951" spans="1:10">
      <c r="A951">
        <v>313507</v>
      </c>
      <c r="B951" t="s">
        <v>1019</v>
      </c>
      <c r="C951" t="s">
        <v>1020</v>
      </c>
      <c r="D951" t="s">
        <v>70</v>
      </c>
      <c r="E951" t="s">
        <v>13</v>
      </c>
      <c r="F951">
        <v>12.508914880000001</v>
      </c>
      <c r="G951">
        <v>75.04478426</v>
      </c>
      <c r="H951">
        <v>2</v>
      </c>
      <c r="I951" t="s">
        <v>1021</v>
      </c>
      <c r="J951" t="s">
        <v>139</v>
      </c>
    </row>
    <row r="952" spans="1:10">
      <c r="A952">
        <v>313506</v>
      </c>
      <c r="B952" t="s">
        <v>1022</v>
      </c>
      <c r="C952" t="s">
        <v>197</v>
      </c>
      <c r="D952" t="s">
        <v>70</v>
      </c>
      <c r="E952" t="s">
        <v>13</v>
      </c>
      <c r="F952">
        <v>11.382827239999999</v>
      </c>
      <c r="G952">
        <v>75.735936499999994</v>
      </c>
      <c r="H952">
        <v>2</v>
      </c>
      <c r="I952" t="s">
        <v>14</v>
      </c>
      <c r="J952" t="s">
        <v>174</v>
      </c>
    </row>
    <row r="953" spans="1:10">
      <c r="A953">
        <v>313505</v>
      </c>
      <c r="B953" t="s">
        <v>1023</v>
      </c>
      <c r="C953" t="s">
        <v>197</v>
      </c>
      <c r="D953" t="s">
        <v>70</v>
      </c>
      <c r="E953" t="s">
        <v>13</v>
      </c>
      <c r="F953">
        <v>11.282498950000001</v>
      </c>
      <c r="G953">
        <v>75.769599499999998</v>
      </c>
      <c r="H953">
        <v>2</v>
      </c>
      <c r="I953" t="s">
        <v>14</v>
      </c>
      <c r="J953" t="s">
        <v>174</v>
      </c>
    </row>
    <row r="954" spans="1:10">
      <c r="A954">
        <v>313504</v>
      </c>
      <c r="B954" t="s">
        <v>1024</v>
      </c>
      <c r="C954" t="s">
        <v>197</v>
      </c>
      <c r="D954" t="s">
        <v>70</v>
      </c>
      <c r="E954" t="s">
        <v>13</v>
      </c>
      <c r="F954">
        <v>11.279978310000001</v>
      </c>
      <c r="G954">
        <v>75.770480599999999</v>
      </c>
      <c r="H954">
        <v>2</v>
      </c>
      <c r="I954" t="s">
        <v>1021</v>
      </c>
      <c r="J954" t="s">
        <v>139</v>
      </c>
    </row>
    <row r="955" spans="1:10">
      <c r="A955">
        <v>313503</v>
      </c>
      <c r="B955" t="s">
        <v>1025</v>
      </c>
      <c r="C955" t="s">
        <v>264</v>
      </c>
      <c r="D955" t="s">
        <v>70</v>
      </c>
      <c r="E955" t="s">
        <v>13</v>
      </c>
      <c r="F955">
        <v>10.790476610000001</v>
      </c>
      <c r="G955">
        <v>76.651119390000005</v>
      </c>
      <c r="H955">
        <v>2</v>
      </c>
      <c r="I955" t="s">
        <v>14</v>
      </c>
      <c r="J955" t="s">
        <v>139</v>
      </c>
    </row>
    <row r="956" spans="1:10">
      <c r="A956">
        <v>313502</v>
      </c>
      <c r="B956" t="s">
        <v>1023</v>
      </c>
      <c r="C956" t="s">
        <v>169</v>
      </c>
      <c r="D956" t="s">
        <v>70</v>
      </c>
      <c r="E956" t="s">
        <v>13</v>
      </c>
      <c r="F956">
        <v>10.47104712</v>
      </c>
      <c r="G956">
        <v>76.257459030000007</v>
      </c>
      <c r="H956">
        <v>2</v>
      </c>
      <c r="I956" t="s">
        <v>14</v>
      </c>
      <c r="J956" t="s">
        <v>174</v>
      </c>
    </row>
    <row r="957" spans="1:10">
      <c r="A957">
        <v>313501</v>
      </c>
      <c r="B957" t="s">
        <v>1026</v>
      </c>
      <c r="C957" t="s">
        <v>183</v>
      </c>
      <c r="D957" t="s">
        <v>70</v>
      </c>
      <c r="E957" t="s">
        <v>13</v>
      </c>
      <c r="F957">
        <v>10.02982815</v>
      </c>
      <c r="G957">
        <v>76.30813431</v>
      </c>
      <c r="H957">
        <v>2</v>
      </c>
      <c r="I957" t="s">
        <v>1021</v>
      </c>
      <c r="J957" t="s">
        <v>139</v>
      </c>
    </row>
    <row r="958" spans="1:10">
      <c r="A958">
        <v>313500</v>
      </c>
      <c r="B958" t="s">
        <v>1027</v>
      </c>
      <c r="C958" t="s">
        <v>631</v>
      </c>
      <c r="D958" t="s">
        <v>70</v>
      </c>
      <c r="E958" t="s">
        <v>13</v>
      </c>
      <c r="F958">
        <v>9.9338631769999992</v>
      </c>
      <c r="G958">
        <v>76.316874060000004</v>
      </c>
      <c r="H958">
        <v>2</v>
      </c>
      <c r="I958" t="s">
        <v>1021</v>
      </c>
      <c r="J958" t="s">
        <v>139</v>
      </c>
    </row>
    <row r="959" spans="1:10">
      <c r="A959">
        <v>313499</v>
      </c>
      <c r="B959" t="s">
        <v>1028</v>
      </c>
      <c r="C959" t="s">
        <v>631</v>
      </c>
      <c r="D959" t="s">
        <v>70</v>
      </c>
      <c r="E959" t="s">
        <v>13</v>
      </c>
      <c r="F959">
        <v>9.9229902200000009</v>
      </c>
      <c r="G959">
        <v>76.317689250000001</v>
      </c>
      <c r="H959">
        <v>2</v>
      </c>
      <c r="I959" t="s">
        <v>14</v>
      </c>
      <c r="J959" t="s">
        <v>174</v>
      </c>
    </row>
    <row r="960" spans="1:10">
      <c r="A960">
        <v>313498</v>
      </c>
      <c r="B960" t="s">
        <v>1029</v>
      </c>
      <c r="C960" t="s">
        <v>909</v>
      </c>
      <c r="D960" t="s">
        <v>70</v>
      </c>
      <c r="E960" t="s">
        <v>13</v>
      </c>
      <c r="F960">
        <v>9.9737837779999996</v>
      </c>
      <c r="G960">
        <v>76.600694090000005</v>
      </c>
      <c r="H960">
        <v>1</v>
      </c>
      <c r="I960" t="s">
        <v>14</v>
      </c>
      <c r="J960" t="s">
        <v>174</v>
      </c>
    </row>
    <row r="961" spans="1:10">
      <c r="A961">
        <v>313497</v>
      </c>
      <c r="B961" t="s">
        <v>1030</v>
      </c>
      <c r="C961" t="s">
        <v>304</v>
      </c>
      <c r="D961" t="s">
        <v>70</v>
      </c>
      <c r="E961" t="s">
        <v>13</v>
      </c>
      <c r="F961">
        <v>9.8926595400000004</v>
      </c>
      <c r="G961">
        <v>76.71176414</v>
      </c>
      <c r="H961">
        <v>3</v>
      </c>
      <c r="I961" t="s">
        <v>14</v>
      </c>
      <c r="J961" t="s">
        <v>174</v>
      </c>
    </row>
    <row r="962" spans="1:10">
      <c r="A962">
        <v>313496</v>
      </c>
      <c r="B962" t="s">
        <v>1031</v>
      </c>
      <c r="C962" t="s">
        <v>614</v>
      </c>
      <c r="D962" t="s">
        <v>70</v>
      </c>
      <c r="E962" t="s">
        <v>13</v>
      </c>
      <c r="F962">
        <v>9.6616883060000003</v>
      </c>
      <c r="G962">
        <v>76.551137460000007</v>
      </c>
      <c r="H962">
        <v>2</v>
      </c>
      <c r="I962" t="s">
        <v>14</v>
      </c>
      <c r="J962" t="s">
        <v>174</v>
      </c>
    </row>
    <row r="963" spans="1:10">
      <c r="A963">
        <v>313495</v>
      </c>
      <c r="B963" t="s">
        <v>1032</v>
      </c>
      <c r="C963" t="s">
        <v>585</v>
      </c>
      <c r="D963" t="s">
        <v>70</v>
      </c>
      <c r="E963" t="s">
        <v>13</v>
      </c>
      <c r="F963">
        <v>9.2777449250000004</v>
      </c>
      <c r="G963">
        <v>76.754683110000002</v>
      </c>
      <c r="H963">
        <v>2</v>
      </c>
      <c r="I963" t="s">
        <v>14</v>
      </c>
      <c r="J963" t="s">
        <v>139</v>
      </c>
    </row>
    <row r="964" spans="1:10">
      <c r="A964">
        <v>313494</v>
      </c>
      <c r="B964" t="s">
        <v>1033</v>
      </c>
      <c r="C964" t="s">
        <v>577</v>
      </c>
      <c r="D964" t="s">
        <v>70</v>
      </c>
      <c r="E964" t="s">
        <v>13</v>
      </c>
      <c r="F964">
        <v>9.1699623890000002</v>
      </c>
      <c r="G964">
        <v>76.498087920000003</v>
      </c>
      <c r="H964">
        <v>2</v>
      </c>
      <c r="I964" t="s">
        <v>14</v>
      </c>
      <c r="J964" t="s">
        <v>139</v>
      </c>
    </row>
    <row r="965" spans="1:10">
      <c r="A965">
        <v>313493</v>
      </c>
      <c r="B965" t="s">
        <v>1034</v>
      </c>
      <c r="C965" t="s">
        <v>328</v>
      </c>
      <c r="D965" t="s">
        <v>70</v>
      </c>
      <c r="E965" t="s">
        <v>13</v>
      </c>
      <c r="F965">
        <v>9.0523550420000003</v>
      </c>
      <c r="G965">
        <v>76.535460810000004</v>
      </c>
      <c r="H965">
        <v>2</v>
      </c>
      <c r="I965" t="s">
        <v>14</v>
      </c>
      <c r="J965" t="s">
        <v>139</v>
      </c>
    </row>
    <row r="966" spans="1:10">
      <c r="A966">
        <v>313492</v>
      </c>
      <c r="B966" t="s">
        <v>1035</v>
      </c>
      <c r="C966" t="s">
        <v>328</v>
      </c>
      <c r="D966" t="s">
        <v>70</v>
      </c>
      <c r="E966" t="s">
        <v>13</v>
      </c>
      <c r="F966">
        <v>9.0460530089999995</v>
      </c>
      <c r="G966">
        <v>76.536630779999996</v>
      </c>
      <c r="H966">
        <v>2</v>
      </c>
      <c r="I966" t="s">
        <v>14</v>
      </c>
      <c r="J966" t="s">
        <v>139</v>
      </c>
    </row>
    <row r="967" spans="1:10">
      <c r="A967">
        <v>313491</v>
      </c>
      <c r="B967" t="s">
        <v>1036</v>
      </c>
      <c r="C967" t="s">
        <v>338</v>
      </c>
      <c r="D967" t="s">
        <v>70</v>
      </c>
      <c r="E967" t="s">
        <v>13</v>
      </c>
      <c r="F967">
        <v>8.9154271610000002</v>
      </c>
      <c r="G967">
        <v>76.614868869999995</v>
      </c>
      <c r="H967">
        <v>4</v>
      </c>
      <c r="I967" t="s">
        <v>14</v>
      </c>
      <c r="J967" t="s">
        <v>174</v>
      </c>
    </row>
    <row r="968" spans="1:10">
      <c r="A968">
        <v>313490</v>
      </c>
      <c r="B968" t="s">
        <v>1037</v>
      </c>
      <c r="C968" t="s">
        <v>338</v>
      </c>
      <c r="D968" t="s">
        <v>70</v>
      </c>
      <c r="E968" t="s">
        <v>13</v>
      </c>
      <c r="F968">
        <v>8.9111048620000002</v>
      </c>
      <c r="G968">
        <v>76.627353159999998</v>
      </c>
      <c r="H968">
        <v>2</v>
      </c>
      <c r="I968" t="s">
        <v>1021</v>
      </c>
      <c r="J968" t="s">
        <v>139</v>
      </c>
    </row>
    <row r="969" spans="1:10">
      <c r="A969">
        <v>313489</v>
      </c>
      <c r="B969" t="s">
        <v>1038</v>
      </c>
      <c r="C969" t="s">
        <v>562</v>
      </c>
      <c r="D969" t="s">
        <v>70</v>
      </c>
      <c r="E969" t="s">
        <v>13</v>
      </c>
      <c r="F969">
        <v>8.7375483559999996</v>
      </c>
      <c r="G969">
        <v>76.707898009999994</v>
      </c>
      <c r="H969">
        <v>3</v>
      </c>
      <c r="I969" t="s">
        <v>14</v>
      </c>
      <c r="J969" t="s">
        <v>174</v>
      </c>
    </row>
    <row r="970" spans="1:10">
      <c r="A970">
        <v>313488</v>
      </c>
      <c r="B970" t="s">
        <v>1039</v>
      </c>
      <c r="C970" t="s">
        <v>187</v>
      </c>
      <c r="D970" t="s">
        <v>70</v>
      </c>
      <c r="E970" t="s">
        <v>13</v>
      </c>
      <c r="F970">
        <v>8.5357062080000006</v>
      </c>
      <c r="G970">
        <v>76.965262039999999</v>
      </c>
      <c r="H970">
        <v>2</v>
      </c>
      <c r="I970" t="s">
        <v>14</v>
      </c>
      <c r="J970" t="s">
        <v>174</v>
      </c>
    </row>
    <row r="971" spans="1:10">
      <c r="A971">
        <v>313475</v>
      </c>
      <c r="B971" t="s">
        <v>1040</v>
      </c>
      <c r="C971" t="s">
        <v>734</v>
      </c>
      <c r="D971" t="s">
        <v>70</v>
      </c>
      <c r="E971" t="s">
        <v>13</v>
      </c>
      <c r="F971">
        <v>12.30424174</v>
      </c>
      <c r="G971">
        <v>75.097041779999998</v>
      </c>
      <c r="H971">
        <v>1</v>
      </c>
      <c r="I971" t="s">
        <v>14</v>
      </c>
      <c r="J971" t="s">
        <v>198</v>
      </c>
    </row>
    <row r="972" spans="1:10">
      <c r="A972">
        <v>313474</v>
      </c>
      <c r="B972" t="s">
        <v>1041</v>
      </c>
      <c r="C972" t="s">
        <v>538</v>
      </c>
      <c r="D972" t="s">
        <v>70</v>
      </c>
      <c r="E972" t="s">
        <v>13</v>
      </c>
      <c r="F972">
        <v>11.9270166</v>
      </c>
      <c r="G972">
        <v>75.500422060000005</v>
      </c>
      <c r="H972">
        <v>1</v>
      </c>
      <c r="I972" t="s">
        <v>14</v>
      </c>
      <c r="J972" t="s">
        <v>198</v>
      </c>
    </row>
    <row r="973" spans="1:10">
      <c r="A973">
        <v>313472</v>
      </c>
      <c r="B973" t="s">
        <v>1042</v>
      </c>
      <c r="C973" t="s">
        <v>1043</v>
      </c>
      <c r="D973" t="s">
        <v>70</v>
      </c>
      <c r="E973" t="s">
        <v>13</v>
      </c>
      <c r="F973">
        <v>11.78788559</v>
      </c>
      <c r="G973">
        <v>75.533021050000002</v>
      </c>
      <c r="H973">
        <v>3</v>
      </c>
      <c r="I973" t="s">
        <v>14</v>
      </c>
      <c r="J973" t="s">
        <v>198</v>
      </c>
    </row>
    <row r="974" spans="1:10">
      <c r="A974">
        <v>313471</v>
      </c>
      <c r="B974" t="s">
        <v>1044</v>
      </c>
      <c r="C974" t="s">
        <v>1045</v>
      </c>
      <c r="D974" t="s">
        <v>70</v>
      </c>
      <c r="E974" t="s">
        <v>13</v>
      </c>
      <c r="F974">
        <v>11.74512339</v>
      </c>
      <c r="G974">
        <v>75.495419170000005</v>
      </c>
      <c r="H974">
        <v>2</v>
      </c>
      <c r="I974" t="s">
        <v>14</v>
      </c>
      <c r="J974" t="s">
        <v>198</v>
      </c>
    </row>
    <row r="975" spans="1:10">
      <c r="A975">
        <v>313469</v>
      </c>
      <c r="B975" t="s">
        <v>1046</v>
      </c>
      <c r="C975" t="s">
        <v>1047</v>
      </c>
      <c r="D975" t="s">
        <v>70</v>
      </c>
      <c r="E975" t="s">
        <v>13</v>
      </c>
      <c r="F975">
        <v>11.66124226</v>
      </c>
      <c r="G975">
        <v>76.255681420000002</v>
      </c>
      <c r="H975">
        <v>1</v>
      </c>
      <c r="I975" t="s">
        <v>14</v>
      </c>
      <c r="J975" t="s">
        <v>12</v>
      </c>
    </row>
    <row r="976" spans="1:10">
      <c r="A976">
        <v>313468</v>
      </c>
      <c r="B976" t="s">
        <v>1048</v>
      </c>
      <c r="C976" t="s">
        <v>526</v>
      </c>
      <c r="D976" t="s">
        <v>70</v>
      </c>
      <c r="E976" t="s">
        <v>13</v>
      </c>
      <c r="F976">
        <v>11.63045584</v>
      </c>
      <c r="G976">
        <v>76.018145840000003</v>
      </c>
      <c r="H976">
        <v>1</v>
      </c>
      <c r="I976" t="s">
        <v>14</v>
      </c>
      <c r="J976" t="s">
        <v>198</v>
      </c>
    </row>
    <row r="977" spans="1:10">
      <c r="A977">
        <v>313467</v>
      </c>
      <c r="B977" t="s">
        <v>1049</v>
      </c>
      <c r="C977" t="s">
        <v>526</v>
      </c>
      <c r="D977" t="s">
        <v>70</v>
      </c>
      <c r="E977" t="s">
        <v>13</v>
      </c>
      <c r="F977">
        <v>11.60311373</v>
      </c>
      <c r="G977">
        <v>76.083149039999995</v>
      </c>
      <c r="H977">
        <v>1</v>
      </c>
      <c r="I977" t="s">
        <v>14</v>
      </c>
      <c r="J977" t="s">
        <v>198</v>
      </c>
    </row>
    <row r="978" spans="1:10">
      <c r="A978">
        <v>313465</v>
      </c>
      <c r="B978" t="s">
        <v>1050</v>
      </c>
      <c r="C978" t="s">
        <v>197</v>
      </c>
      <c r="D978" t="s">
        <v>70</v>
      </c>
      <c r="E978" t="s">
        <v>13</v>
      </c>
      <c r="F978">
        <v>11.248102469999999</v>
      </c>
      <c r="G978">
        <v>75.834135919999994</v>
      </c>
      <c r="H978">
        <v>4</v>
      </c>
      <c r="I978" t="s">
        <v>14</v>
      </c>
      <c r="J978" t="s">
        <v>198</v>
      </c>
    </row>
    <row r="979" spans="1:10">
      <c r="A979">
        <v>313464</v>
      </c>
      <c r="B979" t="s">
        <v>1051</v>
      </c>
      <c r="C979" t="s">
        <v>197</v>
      </c>
      <c r="D979" t="s">
        <v>70</v>
      </c>
      <c r="E979" t="s">
        <v>13</v>
      </c>
      <c r="F979">
        <v>11.247016159999999</v>
      </c>
      <c r="G979">
        <v>75.834678640000007</v>
      </c>
      <c r="H979">
        <v>3</v>
      </c>
      <c r="I979" t="s">
        <v>14</v>
      </c>
      <c r="J979" t="s">
        <v>198</v>
      </c>
    </row>
    <row r="980" spans="1:10">
      <c r="A980">
        <v>313461</v>
      </c>
      <c r="B980" t="s">
        <v>1049</v>
      </c>
      <c r="C980" t="s">
        <v>790</v>
      </c>
      <c r="D980" t="s">
        <v>70</v>
      </c>
      <c r="E980" t="s">
        <v>13</v>
      </c>
      <c r="F980">
        <v>10.995739410000001</v>
      </c>
      <c r="G980">
        <v>75.992109940000006</v>
      </c>
      <c r="H980">
        <v>2</v>
      </c>
      <c r="I980" t="s">
        <v>14</v>
      </c>
      <c r="J980" t="s">
        <v>198</v>
      </c>
    </row>
    <row r="981" spans="1:10">
      <c r="A981">
        <v>313460</v>
      </c>
      <c r="B981" t="s">
        <v>1052</v>
      </c>
      <c r="C981" t="s">
        <v>790</v>
      </c>
      <c r="D981" t="s">
        <v>70</v>
      </c>
      <c r="E981" t="s">
        <v>13</v>
      </c>
      <c r="F981">
        <v>10.98386743</v>
      </c>
      <c r="G981">
        <v>75.998029500000001</v>
      </c>
      <c r="H981">
        <v>1</v>
      </c>
      <c r="I981" t="s">
        <v>14</v>
      </c>
      <c r="J981" t="s">
        <v>198</v>
      </c>
    </row>
    <row r="982" spans="1:10">
      <c r="A982">
        <v>313459</v>
      </c>
      <c r="B982" t="s">
        <v>1053</v>
      </c>
      <c r="C982" t="s">
        <v>1054</v>
      </c>
      <c r="D982" t="s">
        <v>70</v>
      </c>
      <c r="E982" t="s">
        <v>13</v>
      </c>
      <c r="F982">
        <v>10.90772625</v>
      </c>
      <c r="G982">
        <v>75.920325680000005</v>
      </c>
      <c r="H982">
        <v>2</v>
      </c>
      <c r="I982" t="s">
        <v>14</v>
      </c>
      <c r="J982" t="s">
        <v>198</v>
      </c>
    </row>
    <row r="983" spans="1:10">
      <c r="A983">
        <v>313458</v>
      </c>
      <c r="B983" t="s">
        <v>1055</v>
      </c>
      <c r="C983" t="s">
        <v>1056</v>
      </c>
      <c r="D983" t="s">
        <v>70</v>
      </c>
      <c r="E983" t="s">
        <v>13</v>
      </c>
      <c r="F983">
        <v>10.78602051</v>
      </c>
      <c r="G983">
        <v>76.008161819999998</v>
      </c>
      <c r="H983">
        <v>1</v>
      </c>
      <c r="I983" t="s">
        <v>14</v>
      </c>
      <c r="J983" t="s">
        <v>198</v>
      </c>
    </row>
    <row r="984" spans="1:10">
      <c r="A984">
        <v>313456</v>
      </c>
      <c r="B984" t="s">
        <v>1057</v>
      </c>
      <c r="C984" t="s">
        <v>111</v>
      </c>
      <c r="D984" t="s">
        <v>70</v>
      </c>
      <c r="E984" t="s">
        <v>13</v>
      </c>
      <c r="F984">
        <v>10.595622580000001</v>
      </c>
      <c r="G984">
        <v>76.044598429999994</v>
      </c>
      <c r="H984">
        <v>1</v>
      </c>
      <c r="I984" t="s">
        <v>14</v>
      </c>
      <c r="J984" t="s">
        <v>198</v>
      </c>
    </row>
    <row r="985" spans="1:10">
      <c r="A985">
        <v>313455</v>
      </c>
      <c r="B985" t="s">
        <v>1058</v>
      </c>
      <c r="C985" t="s">
        <v>169</v>
      </c>
      <c r="D985" t="s">
        <v>70</v>
      </c>
      <c r="E985" t="s">
        <v>13</v>
      </c>
      <c r="F985">
        <v>10.539926250000001</v>
      </c>
      <c r="G985">
        <v>76.192887580000004</v>
      </c>
      <c r="H985">
        <v>2</v>
      </c>
      <c r="I985" t="s">
        <v>14</v>
      </c>
      <c r="J985" t="s">
        <v>198</v>
      </c>
    </row>
    <row r="986" spans="1:10">
      <c r="A986">
        <v>313454</v>
      </c>
      <c r="B986" t="s">
        <v>1059</v>
      </c>
      <c r="C986" t="s">
        <v>1060</v>
      </c>
      <c r="D986" t="s">
        <v>70</v>
      </c>
      <c r="E986" t="s">
        <v>13</v>
      </c>
      <c r="F986">
        <v>10.55587199</v>
      </c>
      <c r="G986">
        <v>76.322822520000003</v>
      </c>
      <c r="H986">
        <v>1</v>
      </c>
      <c r="I986" t="s">
        <v>14</v>
      </c>
      <c r="J986" t="s">
        <v>198</v>
      </c>
    </row>
    <row r="987" spans="1:10">
      <c r="A987">
        <v>313453</v>
      </c>
      <c r="B987" t="s">
        <v>1061</v>
      </c>
      <c r="C987" t="s">
        <v>169</v>
      </c>
      <c r="D987" t="s">
        <v>70</v>
      </c>
      <c r="E987" t="s">
        <v>13</v>
      </c>
      <c r="F987">
        <v>10.5127597</v>
      </c>
      <c r="G987">
        <v>76.258916749999997</v>
      </c>
      <c r="H987">
        <v>2</v>
      </c>
      <c r="I987" t="s">
        <v>14</v>
      </c>
      <c r="J987" t="s">
        <v>198</v>
      </c>
    </row>
    <row r="988" spans="1:10">
      <c r="A988">
        <v>313452</v>
      </c>
      <c r="B988" t="s">
        <v>1062</v>
      </c>
      <c r="C988" t="s">
        <v>169</v>
      </c>
      <c r="D988" t="s">
        <v>70</v>
      </c>
      <c r="E988" t="s">
        <v>13</v>
      </c>
      <c r="F988">
        <v>10.49548871</v>
      </c>
      <c r="G988">
        <v>76.256802530000002</v>
      </c>
      <c r="H988">
        <v>5</v>
      </c>
      <c r="I988" t="s">
        <v>14</v>
      </c>
      <c r="J988" t="s">
        <v>198</v>
      </c>
    </row>
    <row r="989" spans="1:10">
      <c r="A989">
        <v>313451</v>
      </c>
      <c r="B989" t="s">
        <v>1063</v>
      </c>
      <c r="C989" t="s">
        <v>105</v>
      </c>
      <c r="D989" t="s">
        <v>70</v>
      </c>
      <c r="E989" t="s">
        <v>13</v>
      </c>
      <c r="F989">
        <v>10.231319020000001</v>
      </c>
      <c r="G989">
        <v>76.197243099999994</v>
      </c>
      <c r="H989">
        <v>2</v>
      </c>
      <c r="I989" t="s">
        <v>14</v>
      </c>
      <c r="J989" t="s">
        <v>198</v>
      </c>
    </row>
    <row r="990" spans="1:10">
      <c r="A990">
        <v>313450</v>
      </c>
      <c r="B990" t="s">
        <v>1064</v>
      </c>
      <c r="C990" t="s">
        <v>483</v>
      </c>
      <c r="D990" t="s">
        <v>70</v>
      </c>
      <c r="E990" t="s">
        <v>13</v>
      </c>
      <c r="F990">
        <v>10.222723759999999</v>
      </c>
      <c r="G990">
        <v>76.375697740000007</v>
      </c>
      <c r="H990">
        <v>1</v>
      </c>
      <c r="I990" t="s">
        <v>14</v>
      </c>
      <c r="J990" t="s">
        <v>198</v>
      </c>
    </row>
    <row r="991" spans="1:10">
      <c r="A991">
        <v>313449</v>
      </c>
      <c r="B991" t="s">
        <v>1065</v>
      </c>
      <c r="C991" t="s">
        <v>1066</v>
      </c>
      <c r="D991" t="s">
        <v>70</v>
      </c>
      <c r="E991" t="s">
        <v>13</v>
      </c>
      <c r="F991">
        <v>10.137093999999999</v>
      </c>
      <c r="G991">
        <v>76.180289529999996</v>
      </c>
      <c r="H991">
        <v>2</v>
      </c>
      <c r="I991" t="s">
        <v>14</v>
      </c>
      <c r="J991" t="s">
        <v>198</v>
      </c>
    </row>
    <row r="992" spans="1:10">
      <c r="A992">
        <v>313447</v>
      </c>
      <c r="B992" t="s">
        <v>1067</v>
      </c>
      <c r="C992" t="s">
        <v>1068</v>
      </c>
      <c r="D992" t="s">
        <v>70</v>
      </c>
      <c r="E992" t="s">
        <v>13</v>
      </c>
      <c r="F992">
        <v>10.024160419999999</v>
      </c>
      <c r="G992">
        <v>76.308711930000001</v>
      </c>
      <c r="H992">
        <v>3</v>
      </c>
      <c r="I992" t="s">
        <v>14</v>
      </c>
      <c r="J992" t="s">
        <v>198</v>
      </c>
    </row>
    <row r="993" spans="1:10">
      <c r="A993">
        <v>313446</v>
      </c>
      <c r="B993" t="s">
        <v>1069</v>
      </c>
      <c r="C993" t="s">
        <v>1068</v>
      </c>
      <c r="D993" t="s">
        <v>70</v>
      </c>
      <c r="E993" t="s">
        <v>13</v>
      </c>
      <c r="F993">
        <v>10.01114482</v>
      </c>
      <c r="G993">
        <v>76.312497410000006</v>
      </c>
      <c r="H993">
        <v>1</v>
      </c>
      <c r="I993" t="s">
        <v>14</v>
      </c>
      <c r="J993" t="s">
        <v>198</v>
      </c>
    </row>
    <row r="994" spans="1:10">
      <c r="A994">
        <v>313445</v>
      </c>
      <c r="B994" t="s">
        <v>1070</v>
      </c>
      <c r="C994" t="s">
        <v>1071</v>
      </c>
      <c r="D994" t="s">
        <v>70</v>
      </c>
      <c r="E994" t="s">
        <v>13</v>
      </c>
      <c r="F994">
        <v>9.9683045250000006</v>
      </c>
      <c r="G994">
        <v>76.245709480000002</v>
      </c>
      <c r="H994">
        <v>1</v>
      </c>
      <c r="I994" t="s">
        <v>14</v>
      </c>
      <c r="J994" t="s">
        <v>198</v>
      </c>
    </row>
    <row r="995" spans="1:10">
      <c r="A995">
        <v>313444</v>
      </c>
      <c r="B995" t="s">
        <v>1072</v>
      </c>
      <c r="C995" t="s">
        <v>183</v>
      </c>
      <c r="D995" t="s">
        <v>70</v>
      </c>
      <c r="E995" t="s">
        <v>13</v>
      </c>
      <c r="F995">
        <v>9.9614312439999999</v>
      </c>
      <c r="G995">
        <v>76.269490950000005</v>
      </c>
      <c r="H995">
        <v>1</v>
      </c>
      <c r="I995" t="s">
        <v>14</v>
      </c>
      <c r="J995" t="s">
        <v>198</v>
      </c>
    </row>
    <row r="996" spans="1:10">
      <c r="A996">
        <v>313443</v>
      </c>
      <c r="B996" t="s">
        <v>1073</v>
      </c>
      <c r="C996" t="s">
        <v>911</v>
      </c>
      <c r="D996" t="s">
        <v>70</v>
      </c>
      <c r="E996" t="s">
        <v>13</v>
      </c>
      <c r="F996">
        <v>9.9817705659999998</v>
      </c>
      <c r="G996">
        <v>76.578304230000001</v>
      </c>
      <c r="H996">
        <v>2</v>
      </c>
      <c r="I996" t="s">
        <v>14</v>
      </c>
      <c r="J996" t="s">
        <v>198</v>
      </c>
    </row>
    <row r="997" spans="1:10">
      <c r="A997">
        <v>313442</v>
      </c>
      <c r="B997" t="s">
        <v>1074</v>
      </c>
      <c r="C997" t="s">
        <v>79</v>
      </c>
      <c r="D997" t="s">
        <v>70</v>
      </c>
      <c r="E997" t="s">
        <v>13</v>
      </c>
      <c r="F997">
        <v>10.025676320000001</v>
      </c>
      <c r="G997">
        <v>77.053771060000003</v>
      </c>
      <c r="H997">
        <v>1</v>
      </c>
      <c r="I997" t="s">
        <v>14</v>
      </c>
      <c r="J997" t="s">
        <v>198</v>
      </c>
    </row>
    <row r="998" spans="1:10">
      <c r="A998">
        <v>313441</v>
      </c>
      <c r="B998" t="s">
        <v>1075</v>
      </c>
      <c r="C998" t="s">
        <v>1076</v>
      </c>
      <c r="D998" t="s">
        <v>70</v>
      </c>
      <c r="E998" t="s">
        <v>13</v>
      </c>
      <c r="F998">
        <v>9.8597511040000008</v>
      </c>
      <c r="G998">
        <v>76.335824169999995</v>
      </c>
      <c r="H998">
        <v>2</v>
      </c>
      <c r="I998" t="s">
        <v>14</v>
      </c>
      <c r="J998" t="s">
        <v>198</v>
      </c>
    </row>
    <row r="999" spans="1:10">
      <c r="A999">
        <v>313440</v>
      </c>
      <c r="B999" t="s">
        <v>1077</v>
      </c>
      <c r="C999" t="s">
        <v>1078</v>
      </c>
      <c r="D999" t="s">
        <v>70</v>
      </c>
      <c r="E999" t="s">
        <v>13</v>
      </c>
      <c r="F999">
        <v>9.596033619</v>
      </c>
      <c r="G999">
        <v>76.302770240000001</v>
      </c>
      <c r="H999">
        <v>1</v>
      </c>
      <c r="I999" t="s">
        <v>14</v>
      </c>
      <c r="J999" t="s">
        <v>198</v>
      </c>
    </row>
    <row r="1000" spans="1:10">
      <c r="A1000">
        <v>313439</v>
      </c>
      <c r="B1000" t="s">
        <v>1079</v>
      </c>
      <c r="C1000" t="s">
        <v>617</v>
      </c>
      <c r="D1000" t="s">
        <v>70</v>
      </c>
      <c r="E1000" t="s">
        <v>13</v>
      </c>
      <c r="F1000">
        <v>9.5187138830000002</v>
      </c>
      <c r="G1000">
        <v>76.327485150000001</v>
      </c>
      <c r="H1000">
        <v>2</v>
      </c>
      <c r="I1000" t="s">
        <v>14</v>
      </c>
      <c r="J1000" t="s">
        <v>198</v>
      </c>
    </row>
    <row r="1001" spans="1:10">
      <c r="A1001">
        <v>313438</v>
      </c>
      <c r="B1001" t="s">
        <v>1080</v>
      </c>
      <c r="C1001" t="s">
        <v>614</v>
      </c>
      <c r="D1001" t="s">
        <v>70</v>
      </c>
      <c r="E1001" t="s">
        <v>13</v>
      </c>
      <c r="F1001">
        <v>9.5828804759999997</v>
      </c>
      <c r="G1001">
        <v>76.521686220000007</v>
      </c>
      <c r="H1001">
        <v>1</v>
      </c>
      <c r="I1001" t="s">
        <v>14</v>
      </c>
      <c r="J1001" t="s">
        <v>198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6C0ACF-3724-4CCD-A5B4-DD5F29C9A453}">
  <dimension ref="A1:E27"/>
  <sheetViews>
    <sheetView tabSelected="1" workbookViewId="0">
      <selection activeCell="A29" sqref="A29"/>
    </sheetView>
  </sheetViews>
  <sheetFormatPr defaultRowHeight="14.4"/>
  <cols>
    <col min="1" max="1" width="94.6640625" customWidth="1"/>
    <col min="2" max="2" width="28.21875" customWidth="1"/>
    <col min="3" max="3" width="18.77734375" bestFit="1" customWidth="1"/>
  </cols>
  <sheetData>
    <row r="1" spans="1:5">
      <c r="A1" s="4" t="s">
        <v>1095</v>
      </c>
      <c r="B1" s="4" t="s">
        <v>1096</v>
      </c>
    </row>
    <row r="2" spans="1:5">
      <c r="A2" s="3" t="s">
        <v>1097</v>
      </c>
      <c r="B2" s="6">
        <f>COUNTA(Charging_Stations!A2:A1001)</f>
        <v>1000</v>
      </c>
    </row>
    <row r="3" spans="1:5">
      <c r="A3" s="3" t="s">
        <v>1098</v>
      </c>
      <c r="B3" s="6">
        <f>SUM(Charging_Stations!H2:H1001)</f>
        <v>2364</v>
      </c>
    </row>
    <row r="4" spans="1:5">
      <c r="A4" s="3" t="s">
        <v>1099</v>
      </c>
      <c r="B4" s="6">
        <f>SUM(Charging_Stations!L2:L1001)</f>
        <v>2320</v>
      </c>
    </row>
    <row r="5" spans="1:5">
      <c r="A5" s="3" t="s">
        <v>1100</v>
      </c>
      <c r="B5" s="6">
        <f>SUM(Charging_Stations!K2:K1001)</f>
        <v>969</v>
      </c>
    </row>
    <row r="6" spans="1:5">
      <c r="A6" s="3" t="s">
        <v>1101</v>
      </c>
      <c r="B6" s="7">
        <f>B5/B2</f>
        <v>0.96899999999999997</v>
      </c>
    </row>
    <row r="7" spans="1:5">
      <c r="A7" s="4" t="s">
        <v>1102</v>
      </c>
      <c r="B7" s="1"/>
    </row>
    <row r="8" spans="1:5">
      <c r="A8" s="4" t="s">
        <v>1103</v>
      </c>
      <c r="B8" s="1" t="s">
        <v>1104</v>
      </c>
      <c r="C8" s="1" t="s">
        <v>1107</v>
      </c>
    </row>
    <row r="9" spans="1:5">
      <c r="A9" s="3" t="s">
        <v>14</v>
      </c>
      <c r="B9" s="6">
        <f>COUNTIF(Charging_Stations!I2:I1001,"Operational")</f>
        <v>969</v>
      </c>
      <c r="C9" s="6" cm="1">
        <f t="array" ref="C9">SUMPRODUCT((TRIM(SUBSTITUTE(Charging_Stations!I2:I1001,CHAR(160)," "))=A9)*Charging_Stations!H2:H1001)</f>
        <v>2320</v>
      </c>
    </row>
    <row r="10" spans="1:5">
      <c r="A10" s="3" t="s">
        <v>41</v>
      </c>
      <c r="B10" s="6">
        <f>COUNTIF(Charging_Stations!I2:I1001,"Not Operational")</f>
        <v>15</v>
      </c>
      <c r="C10" s="6">
        <f>SUMIF(Charging_Stations!I2:I1001,A10,Charging_Stations!H2:H1001)</f>
        <v>16</v>
      </c>
    </row>
    <row r="11" spans="1:5">
      <c r="A11" s="3" t="s">
        <v>1105</v>
      </c>
      <c r="B11" s="6">
        <f>COUNTIF(Charging_Stations!I2:I1001,"Partly Operational (Mixed)")</f>
        <v>1</v>
      </c>
      <c r="C11" s="6">
        <v>1</v>
      </c>
    </row>
    <row r="12" spans="1:5">
      <c r="A12" s="3" t="s">
        <v>1021</v>
      </c>
      <c r="B12" s="6">
        <f>COUNTIF(Charging_Stations!I2:I1001,"Planned For Future Date")</f>
        <v>5</v>
      </c>
      <c r="C12" s="6">
        <f>SUMIF(Charging_Stations!I2:I1001,A12,Charging_Stations!H2:H1001)</f>
        <v>10</v>
      </c>
    </row>
    <row r="13" spans="1:5">
      <c r="A13" s="3" t="s">
        <v>425</v>
      </c>
      <c r="B13" s="6">
        <f>COUNTIF(Charging_Stations!I2:I1001,"Temporarily Unavailable")</f>
        <v>10</v>
      </c>
      <c r="C13" s="6">
        <f>SUMIF(Charging_Stations!I2:I1001,"Temporarily Unavailable",Charging_Stations!H2:H1001)</f>
        <v>17</v>
      </c>
    </row>
    <row r="14" spans="1:5">
      <c r="A14" s="3" t="s">
        <v>1106</v>
      </c>
      <c r="B14" s="1">
        <f>SUM(B9:B13)</f>
        <v>1000</v>
      </c>
      <c r="C14" s="1">
        <f>SUM(C9:C13)</f>
        <v>2364</v>
      </c>
      <c r="E14" s="5">
        <f>SUM(Charging_Stations!H2:H1001)</f>
        <v>2364</v>
      </c>
    </row>
    <row r="15" spans="1:5">
      <c r="E15" s="5">
        <f>COUNTIF(Charging_Stations!I2:I1001,"*")</f>
        <v>1000</v>
      </c>
    </row>
    <row r="16" spans="1:5">
      <c r="A16" s="10" t="s">
        <v>1111</v>
      </c>
      <c r="B16" s="11">
        <f>B4/B3</f>
        <v>0.9813874788494078</v>
      </c>
      <c r="E16" s="5">
        <f>SUM(Charging_Stations!H2:H1001)-SUM(C9:C13)</f>
        <v>0</v>
      </c>
    </row>
    <row r="17" spans="1:5">
      <c r="A17" s="10" t="s">
        <v>1112</v>
      </c>
      <c r="B17" s="5">
        <f>B3-B4</f>
        <v>44</v>
      </c>
      <c r="E17" cm="1">
        <f t="array" ref="E17">SUMPRODUCT(Charging_Stations!H2:H1001)-SUMPRODUCT((TRIM(CLEAN(SUBSTITUTE(Charging_Stations!I2:I1001,CHAR(160)," ")))="Operational")*Charging_Stations!H2:H1001)-SUMPRODUCT((TRIM(CLEAN(SUBSTITUTE(Charging_Stations!I2:I1001,CHAR(160)," ")))="Not Operational")*Charging_Stations!H2:H1001)-SUMPRODUCT((TRIM(CLEAN(SUBSTITUTE(Charging_Stations!I2:I1001,CHAR(160)," ")))="Partly Operational (Mixed)")*Charging_Stations!H2:H1001)-SUMPRODUCT((TRIM(CLEAN(SUBSTITUTE(Charging_Stations!I2:I1001,CHAR(160)," ")))="Planned For Future Date")*Charging_Stations!H2:H1001)-SUMPRODUCT((TRIM(CLEAN(SUBSTITUTE(Charging_Stations!I2:I1001,CHAR(160)," ")))="Temporarily Unavailable")*Charging_Stations!H2:H1001)</f>
        <v>0</v>
      </c>
    </row>
    <row r="18" spans="1:5">
      <c r="A18" s="10" t="s">
        <v>1113</v>
      </c>
      <c r="B18" s="12">
        <f>B3/B2</f>
        <v>2.3639999999999999</v>
      </c>
    </row>
    <row r="19" spans="1:5">
      <c r="A19" s="10" t="s">
        <v>1114</v>
      </c>
      <c r="B19">
        <f>MAX(Charging_Stations!H2:H1001)</f>
        <v>600</v>
      </c>
    </row>
    <row r="20" spans="1:5">
      <c r="A20" s="10" t="s">
        <v>1115</v>
      </c>
      <c r="B20">
        <f>MEDIAN(Charging_Stations!H2:H1001)</f>
        <v>1</v>
      </c>
    </row>
    <row r="21" spans="1:5">
      <c r="A21" s="10" t="s">
        <v>1116</v>
      </c>
      <c r="B21">
        <f>MIN(Charging_Stations!H2:H1001)</f>
        <v>1</v>
      </c>
    </row>
    <row r="22" spans="1:5">
      <c r="A22" s="10" t="s">
        <v>1117</v>
      </c>
      <c r="B22" s="12">
        <f>_xlfn.STDEV.S(Charging_Stations!H2:H1001)</f>
        <v>18.963415175413818</v>
      </c>
    </row>
    <row r="24" spans="1:5">
      <c r="A24" t="s">
        <v>1119</v>
      </c>
    </row>
    <row r="25" spans="1:5">
      <c r="A25" s="13" t="s">
        <v>1120</v>
      </c>
    </row>
    <row r="26" spans="1:5" ht="27">
      <c r="A26" s="13" t="s">
        <v>1121</v>
      </c>
    </row>
    <row r="27" spans="1:5">
      <c r="A27" s="13" t="s">
        <v>1122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Data_Audit</vt:lpstr>
      <vt:lpstr>Pivot_Table</vt:lpstr>
      <vt:lpstr>Charging_Stations</vt:lpstr>
      <vt:lpstr>Charging_Stations_Raw(2)</vt:lpstr>
      <vt:lpstr>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Mariyam Naseer</dc:creator>
  <cp:lastModifiedBy>Mariyam Naseer</cp:lastModifiedBy>
  <dcterms:created xsi:type="dcterms:W3CDTF">2026-09-26T13:47:30Z</dcterms:created>
  <dcterms:modified xsi:type="dcterms:W3CDTF">2026-10-01T00:04:24Z</dcterms:modified>
</cp:coreProperties>
</file>